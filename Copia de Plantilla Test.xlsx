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mobiliaria-Huertas\Sistema-SMART\terra-prime-api\"/>
    </mc:Choice>
  </mc:AlternateContent>
  <xr:revisionPtr revIDLastSave="0" documentId="8_{BA871948-C328-4AEF-874A-2FC65B181890}" xr6:coauthVersionLast="47" xr6:coauthVersionMax="47" xr10:uidLastSave="{00000000-0000-0000-0000-000000000000}"/>
  <bookViews>
    <workbookView xWindow="-28920" yWindow="-120" windowWidth="29040" windowHeight="15720" xr2:uid="{6CF7DBC6-A45D-40B3-A487-970CC0E802FF}"/>
  </bookViews>
  <sheets>
    <sheet name="Hoja1" sheetId="6" r:id="rId1"/>
  </sheets>
  <definedNames>
    <definedName name="_xlnm._FilterDatabase" localSheetId="0" hidden="1">Hoja1!$A$1:$CY$559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23" i="6" l="1"/>
  <c r="CT23" i="6"/>
  <c r="CV23" i="6"/>
  <c r="CS24" i="6"/>
  <c r="CT24" i="6"/>
  <c r="CV24" i="6"/>
  <c r="CS25" i="6"/>
  <c r="CT25" i="6"/>
  <c r="CV25" i="6"/>
  <c r="CS26" i="6"/>
  <c r="CT26" i="6"/>
  <c r="CV26" i="6"/>
  <c r="CS27" i="6"/>
  <c r="CT27" i="6"/>
  <c r="CV27" i="6"/>
  <c r="CU26" i="6" l="1"/>
  <c r="CU25" i="6"/>
  <c r="CU23" i="6"/>
  <c r="CU24" i="6"/>
  <c r="CU27" i="6"/>
  <c r="CT365" i="6"/>
  <c r="CS365" i="6"/>
  <c r="CV440" i="6"/>
  <c r="CS440" i="6"/>
  <c r="CT440" i="6"/>
  <c r="CS82" i="6"/>
  <c r="CT82" i="6"/>
  <c r="CV82" i="6"/>
  <c r="CS83" i="6"/>
  <c r="CT83" i="6"/>
  <c r="CV83" i="6"/>
  <c r="CS84" i="6"/>
  <c r="CT84" i="6"/>
  <c r="CV84" i="6"/>
  <c r="CS85" i="6"/>
  <c r="CT85" i="6"/>
  <c r="CV85" i="6"/>
  <c r="CS86" i="6"/>
  <c r="CT86" i="6"/>
  <c r="CV86" i="6"/>
  <c r="CS87" i="6"/>
  <c r="CT87" i="6"/>
  <c r="CV87" i="6"/>
  <c r="CS88" i="6"/>
  <c r="CT88" i="6"/>
  <c r="CV88" i="6"/>
  <c r="CS89" i="6"/>
  <c r="CT89" i="6"/>
  <c r="CV89" i="6"/>
  <c r="CS90" i="6"/>
  <c r="CT90" i="6"/>
  <c r="CV90" i="6"/>
  <c r="CS91" i="6"/>
  <c r="CT91" i="6"/>
  <c r="CV91" i="6"/>
  <c r="CS92" i="6"/>
  <c r="CT92" i="6"/>
  <c r="CV92" i="6"/>
  <c r="CS93" i="6"/>
  <c r="CT93" i="6"/>
  <c r="CV93" i="6"/>
  <c r="CV222" i="6"/>
  <c r="CT222" i="6"/>
  <c r="CS222" i="6"/>
  <c r="CV221" i="6"/>
  <c r="CT221" i="6"/>
  <c r="CS221" i="6"/>
  <c r="CV220" i="6"/>
  <c r="CT220" i="6"/>
  <c r="CS220" i="6"/>
  <c r="CV219" i="6"/>
  <c r="CT219" i="6"/>
  <c r="CS219" i="6"/>
  <c r="CV218" i="6"/>
  <c r="CT218" i="6"/>
  <c r="CS218" i="6"/>
  <c r="CV217" i="6"/>
  <c r="CT217" i="6"/>
  <c r="CS217" i="6"/>
  <c r="CV216" i="6"/>
  <c r="CT216" i="6"/>
  <c r="CS216" i="6"/>
  <c r="CV215" i="6"/>
  <c r="CT215" i="6"/>
  <c r="CS215" i="6"/>
  <c r="CV214" i="6"/>
  <c r="CT214" i="6"/>
  <c r="CS214" i="6"/>
  <c r="CV213" i="6"/>
  <c r="CT213" i="6"/>
  <c r="CS213" i="6"/>
  <c r="CV212" i="6"/>
  <c r="CT212" i="6"/>
  <c r="CS212" i="6"/>
  <c r="CV211" i="6"/>
  <c r="CT211" i="6"/>
  <c r="CS211" i="6"/>
  <c r="CV210" i="6"/>
  <c r="CT210" i="6"/>
  <c r="CS210" i="6"/>
  <c r="CV209" i="6"/>
  <c r="CT209" i="6"/>
  <c r="CS209" i="6"/>
  <c r="CV208" i="6"/>
  <c r="CT208" i="6"/>
  <c r="CS208" i="6"/>
  <c r="CV207" i="6"/>
  <c r="CT207" i="6"/>
  <c r="CS207" i="6"/>
  <c r="CV206" i="6"/>
  <c r="CT206" i="6"/>
  <c r="CS206" i="6"/>
  <c r="CV205" i="6"/>
  <c r="CT205" i="6"/>
  <c r="CS205" i="6"/>
  <c r="CV204" i="6"/>
  <c r="CT204" i="6"/>
  <c r="CS204" i="6"/>
  <c r="CV203" i="6"/>
  <c r="CT203" i="6"/>
  <c r="CS203" i="6"/>
  <c r="CV202" i="6"/>
  <c r="CT202" i="6"/>
  <c r="CS202" i="6"/>
  <c r="CV201" i="6"/>
  <c r="CT201" i="6"/>
  <c r="CS201" i="6"/>
  <c r="CV200" i="6"/>
  <c r="CT200" i="6"/>
  <c r="CS200" i="6"/>
  <c r="CV199" i="6"/>
  <c r="CT199" i="6"/>
  <c r="CS199" i="6"/>
  <c r="CV198" i="6"/>
  <c r="CT198" i="6"/>
  <c r="CS198" i="6"/>
  <c r="CV197" i="6"/>
  <c r="CT197" i="6"/>
  <c r="CS197" i="6"/>
  <c r="CV196" i="6"/>
  <c r="CT196" i="6"/>
  <c r="CS196" i="6"/>
  <c r="CV195" i="6"/>
  <c r="CT195" i="6"/>
  <c r="CS195" i="6"/>
  <c r="CV194" i="6"/>
  <c r="CT194" i="6"/>
  <c r="CS194" i="6"/>
  <c r="CV193" i="6"/>
  <c r="CT193" i="6"/>
  <c r="CS193" i="6"/>
  <c r="CV192" i="6"/>
  <c r="CT192" i="6"/>
  <c r="CS192" i="6"/>
  <c r="CV191" i="6"/>
  <c r="CT191" i="6"/>
  <c r="CS191" i="6"/>
  <c r="CV190" i="6"/>
  <c r="CT190" i="6"/>
  <c r="CS190" i="6"/>
  <c r="CV189" i="6"/>
  <c r="CT189" i="6"/>
  <c r="CS189" i="6"/>
  <c r="CV188" i="6"/>
  <c r="CT188" i="6"/>
  <c r="CS188" i="6"/>
  <c r="CV187" i="6"/>
  <c r="CT187" i="6"/>
  <c r="CS187" i="6"/>
  <c r="CV186" i="6"/>
  <c r="CT186" i="6"/>
  <c r="CS186" i="6"/>
  <c r="CV185" i="6"/>
  <c r="CT185" i="6"/>
  <c r="CS185" i="6"/>
  <c r="CV184" i="6"/>
  <c r="CT184" i="6"/>
  <c r="CS184" i="6"/>
  <c r="CV183" i="6"/>
  <c r="CT183" i="6"/>
  <c r="CS183" i="6"/>
  <c r="CV182" i="6"/>
  <c r="CT182" i="6"/>
  <c r="CS182" i="6"/>
  <c r="CV181" i="6"/>
  <c r="CT181" i="6"/>
  <c r="CS181" i="6"/>
  <c r="CV180" i="6"/>
  <c r="CT180" i="6"/>
  <c r="CS180" i="6"/>
  <c r="CV179" i="6"/>
  <c r="CT179" i="6"/>
  <c r="CS179" i="6"/>
  <c r="CV178" i="6"/>
  <c r="CT178" i="6"/>
  <c r="CS178" i="6"/>
  <c r="CV177" i="6"/>
  <c r="CT177" i="6"/>
  <c r="CS177" i="6"/>
  <c r="CV176" i="6"/>
  <c r="CT176" i="6"/>
  <c r="CS176" i="6"/>
  <c r="CV175" i="6"/>
  <c r="CT175" i="6"/>
  <c r="CS175" i="6"/>
  <c r="CV174" i="6"/>
  <c r="CT174" i="6"/>
  <c r="CS174" i="6"/>
  <c r="CV173" i="6"/>
  <c r="CT173" i="6"/>
  <c r="CS173" i="6"/>
  <c r="CV172" i="6"/>
  <c r="CT172" i="6"/>
  <c r="CS172" i="6"/>
  <c r="CV171" i="6"/>
  <c r="CT171" i="6"/>
  <c r="CS171" i="6"/>
  <c r="CV170" i="6"/>
  <c r="CT170" i="6"/>
  <c r="CS170" i="6"/>
  <c r="CV169" i="6"/>
  <c r="CS169" i="6"/>
  <c r="CV168" i="6"/>
  <c r="CS168" i="6"/>
  <c r="CV107" i="6"/>
  <c r="CT107" i="6"/>
  <c r="CS107" i="6"/>
  <c r="CV106" i="6"/>
  <c r="CT106" i="6"/>
  <c r="CS106" i="6"/>
  <c r="CV105" i="6"/>
  <c r="CT105" i="6"/>
  <c r="CS105" i="6"/>
  <c r="CV104" i="6"/>
  <c r="CT104" i="6"/>
  <c r="CS104" i="6"/>
  <c r="CV103" i="6"/>
  <c r="CT103" i="6"/>
  <c r="CS103" i="6"/>
  <c r="CV102" i="6"/>
  <c r="CT102" i="6"/>
  <c r="CS102" i="6"/>
  <c r="CV101" i="6"/>
  <c r="CT101" i="6"/>
  <c r="CS101" i="6"/>
  <c r="CV100" i="6"/>
  <c r="CT100" i="6"/>
  <c r="CS100" i="6"/>
  <c r="CV99" i="6"/>
  <c r="CT99" i="6"/>
  <c r="CS99" i="6"/>
  <c r="CV98" i="6"/>
  <c r="CT98" i="6"/>
  <c r="CS98" i="6"/>
  <c r="CV97" i="6"/>
  <c r="CT97" i="6"/>
  <c r="CS97" i="6"/>
  <c r="CV96" i="6"/>
  <c r="CT96" i="6"/>
  <c r="CS96" i="6"/>
  <c r="CV95" i="6"/>
  <c r="CT95" i="6"/>
  <c r="CS95" i="6"/>
  <c r="CV94" i="6"/>
  <c r="CT94" i="6"/>
  <c r="CS94" i="6"/>
  <c r="CV81" i="6"/>
  <c r="CT81" i="6"/>
  <c r="CS81" i="6"/>
  <c r="CV167" i="6"/>
  <c r="CT167" i="6"/>
  <c r="CS167" i="6"/>
  <c r="CV166" i="6"/>
  <c r="CT166" i="6"/>
  <c r="CS166" i="6"/>
  <c r="CV165" i="6"/>
  <c r="CT165" i="6"/>
  <c r="CS165" i="6"/>
  <c r="CV164" i="6"/>
  <c r="CT164" i="6"/>
  <c r="CS164" i="6"/>
  <c r="CT163" i="6"/>
  <c r="CV162" i="6"/>
  <c r="CT162" i="6"/>
  <c r="CS162" i="6"/>
  <c r="CV80" i="6"/>
  <c r="CS80" i="6"/>
  <c r="CV79" i="6"/>
  <c r="CT79" i="6"/>
  <c r="CS79" i="6"/>
  <c r="CV78" i="6"/>
  <c r="CS78" i="6"/>
  <c r="CV77" i="6"/>
  <c r="CT77" i="6"/>
  <c r="CS77" i="6"/>
  <c r="CV76" i="6"/>
  <c r="CT76" i="6"/>
  <c r="CS76" i="6"/>
  <c r="CV75" i="6"/>
  <c r="CT75" i="6"/>
  <c r="CS75" i="6"/>
  <c r="CV74" i="6"/>
  <c r="CT74" i="6"/>
  <c r="CS74" i="6"/>
  <c r="CV73" i="6"/>
  <c r="CT73" i="6"/>
  <c r="CS73" i="6"/>
  <c r="CV72" i="6"/>
  <c r="CT72" i="6"/>
  <c r="CS72" i="6"/>
  <c r="CV71" i="6"/>
  <c r="CT71" i="6"/>
  <c r="CS71" i="6"/>
  <c r="CV70" i="6"/>
  <c r="CT70" i="6"/>
  <c r="CS70" i="6"/>
  <c r="CV69" i="6"/>
  <c r="CT69" i="6"/>
  <c r="CS69" i="6"/>
  <c r="CV68" i="6"/>
  <c r="CT68" i="6"/>
  <c r="CS68" i="6"/>
  <c r="CV67" i="6"/>
  <c r="CT67" i="6"/>
  <c r="CS67" i="6"/>
  <c r="CV66" i="6"/>
  <c r="CT66" i="6"/>
  <c r="CS66" i="6"/>
  <c r="CV65" i="6"/>
  <c r="CT65" i="6"/>
  <c r="CS65" i="6"/>
  <c r="CV64" i="6"/>
  <c r="CT64" i="6"/>
  <c r="CS64" i="6"/>
  <c r="CV63" i="6"/>
  <c r="CT63" i="6"/>
  <c r="CS63" i="6"/>
  <c r="CV62" i="6"/>
  <c r="CT62" i="6"/>
  <c r="CS62" i="6"/>
  <c r="CV61" i="6"/>
  <c r="CT61" i="6"/>
  <c r="CS61" i="6"/>
  <c r="CV60" i="6"/>
  <c r="CT60" i="6"/>
  <c r="CS60" i="6"/>
  <c r="CV59" i="6"/>
  <c r="CT59" i="6"/>
  <c r="CS59" i="6"/>
  <c r="CV58" i="6"/>
  <c r="CT58" i="6"/>
  <c r="CS58" i="6"/>
  <c r="CV57" i="6"/>
  <c r="CT57" i="6"/>
  <c r="CS57" i="6"/>
  <c r="CV56" i="6"/>
  <c r="CT56" i="6"/>
  <c r="CS56" i="6"/>
  <c r="CV55" i="6"/>
  <c r="CT55" i="6"/>
  <c r="CS55" i="6"/>
  <c r="CV54" i="6"/>
  <c r="CT54" i="6"/>
  <c r="CS54" i="6"/>
  <c r="CV53" i="6"/>
  <c r="CT53" i="6"/>
  <c r="CS53" i="6"/>
  <c r="CV52" i="6"/>
  <c r="CT52" i="6"/>
  <c r="CS52" i="6"/>
  <c r="CV51" i="6"/>
  <c r="CT51" i="6"/>
  <c r="CS51" i="6"/>
  <c r="CV50" i="6"/>
  <c r="CT50" i="6"/>
  <c r="CS50" i="6"/>
  <c r="CV49" i="6"/>
  <c r="CT49" i="6"/>
  <c r="CS49" i="6"/>
  <c r="CV48" i="6"/>
  <c r="CT48" i="6"/>
  <c r="CS48" i="6"/>
  <c r="CV47" i="6"/>
  <c r="CT47" i="6"/>
  <c r="CS47" i="6"/>
  <c r="CV46" i="6"/>
  <c r="CT46" i="6"/>
  <c r="CS46" i="6"/>
  <c r="CV45" i="6"/>
  <c r="CT45" i="6"/>
  <c r="CS45" i="6"/>
  <c r="CV44" i="6"/>
  <c r="CT44" i="6"/>
  <c r="CS44" i="6"/>
  <c r="CV43" i="6"/>
  <c r="CT43" i="6"/>
  <c r="CS43" i="6"/>
  <c r="CV42" i="6"/>
  <c r="CT42" i="6"/>
  <c r="CS42" i="6"/>
  <c r="CV41" i="6"/>
  <c r="CT41" i="6"/>
  <c r="CS41" i="6"/>
  <c r="CV40" i="6"/>
  <c r="CT40" i="6"/>
  <c r="CS40" i="6"/>
  <c r="CV39" i="6"/>
  <c r="CT39" i="6"/>
  <c r="CS39" i="6"/>
  <c r="CV38" i="6"/>
  <c r="CT38" i="6"/>
  <c r="CS38" i="6"/>
  <c r="CV37" i="6"/>
  <c r="CT37" i="6"/>
  <c r="CS37" i="6"/>
  <c r="CV36" i="6"/>
  <c r="CT36" i="6"/>
  <c r="CS36" i="6"/>
  <c r="CV35" i="6"/>
  <c r="CT35" i="6"/>
  <c r="CS35" i="6"/>
  <c r="CV34" i="6"/>
  <c r="CT34" i="6"/>
  <c r="CS34" i="6"/>
  <c r="CV33" i="6"/>
  <c r="CT33" i="6"/>
  <c r="CS33" i="6"/>
  <c r="CV32" i="6"/>
  <c r="CT32" i="6"/>
  <c r="CS32" i="6"/>
  <c r="CV31" i="6"/>
  <c r="CT31" i="6"/>
  <c r="CS31" i="6"/>
  <c r="CV30" i="6"/>
  <c r="CT30" i="6"/>
  <c r="CS30" i="6"/>
  <c r="CV29" i="6"/>
  <c r="CT29" i="6"/>
  <c r="CS29" i="6"/>
  <c r="CV28" i="6"/>
  <c r="CS28" i="6"/>
  <c r="CV161" i="6"/>
  <c r="CT161" i="6"/>
  <c r="CS161" i="6"/>
  <c r="CV160" i="6"/>
  <c r="CT160" i="6"/>
  <c r="CS160" i="6"/>
  <c r="CV159" i="6"/>
  <c r="CT159" i="6"/>
  <c r="CS159" i="6"/>
  <c r="CV158" i="6"/>
  <c r="CT158" i="6"/>
  <c r="CS158" i="6"/>
  <c r="CV157" i="6"/>
  <c r="CT157" i="6"/>
  <c r="CS157" i="6"/>
  <c r="CV156" i="6"/>
  <c r="CT156" i="6"/>
  <c r="CS156" i="6"/>
  <c r="CV155" i="6"/>
  <c r="CT155" i="6"/>
  <c r="CS155" i="6"/>
  <c r="CV154" i="6"/>
  <c r="CT154" i="6"/>
  <c r="CS154" i="6"/>
  <c r="CV153" i="6"/>
  <c r="CT153" i="6"/>
  <c r="CS153" i="6"/>
  <c r="CV152" i="6"/>
  <c r="CT152" i="6"/>
  <c r="CS152" i="6"/>
  <c r="CV151" i="6"/>
  <c r="CT151" i="6"/>
  <c r="CS151" i="6"/>
  <c r="CV150" i="6"/>
  <c r="CT150" i="6"/>
  <c r="CS150" i="6"/>
  <c r="CV149" i="6"/>
  <c r="CT149" i="6"/>
  <c r="CS149" i="6"/>
  <c r="CV148" i="6"/>
  <c r="CT148" i="6"/>
  <c r="CS148" i="6"/>
  <c r="CV147" i="6"/>
  <c r="CT147" i="6"/>
  <c r="CS147" i="6"/>
  <c r="CV146" i="6"/>
  <c r="CT146" i="6"/>
  <c r="CS146" i="6"/>
  <c r="CV145" i="6"/>
  <c r="CT145" i="6"/>
  <c r="CS145" i="6"/>
  <c r="CV144" i="6"/>
  <c r="CT144" i="6"/>
  <c r="CS144" i="6"/>
  <c r="CV143" i="6"/>
  <c r="CT143" i="6"/>
  <c r="CS143" i="6"/>
  <c r="CV142" i="6"/>
  <c r="CT142" i="6"/>
  <c r="CS142" i="6"/>
  <c r="CV141" i="6"/>
  <c r="CT141" i="6"/>
  <c r="CS141" i="6"/>
  <c r="CV140" i="6"/>
  <c r="CT140" i="6"/>
  <c r="CS140" i="6"/>
  <c r="CV139" i="6"/>
  <c r="CT139" i="6"/>
  <c r="CS139" i="6"/>
  <c r="CV138" i="6"/>
  <c r="CT138" i="6"/>
  <c r="CS138" i="6"/>
  <c r="CV137" i="6"/>
  <c r="CT137" i="6"/>
  <c r="CS137" i="6"/>
  <c r="CV136" i="6"/>
  <c r="CT136" i="6"/>
  <c r="CS136" i="6"/>
  <c r="CV135" i="6"/>
  <c r="CT135" i="6"/>
  <c r="CS135" i="6"/>
  <c r="CV134" i="6"/>
  <c r="CT134" i="6"/>
  <c r="CS134" i="6"/>
  <c r="CV133" i="6"/>
  <c r="CT133" i="6"/>
  <c r="CS133" i="6"/>
  <c r="CV132" i="6"/>
  <c r="CT132" i="6"/>
  <c r="CS132" i="6"/>
  <c r="CV131" i="6"/>
  <c r="CT131" i="6"/>
  <c r="CS131" i="6"/>
  <c r="CV130" i="6"/>
  <c r="CT130" i="6"/>
  <c r="CS130" i="6"/>
  <c r="CV129" i="6"/>
  <c r="CT129" i="6"/>
  <c r="CS129" i="6"/>
  <c r="CV128" i="6"/>
  <c r="CT128" i="6"/>
  <c r="CS128" i="6"/>
  <c r="CV127" i="6"/>
  <c r="CT127" i="6"/>
  <c r="CS127" i="6"/>
  <c r="CV126" i="6"/>
  <c r="CT126" i="6"/>
  <c r="CS126" i="6"/>
  <c r="CV125" i="6"/>
  <c r="CT125" i="6"/>
  <c r="CS125" i="6"/>
  <c r="CV124" i="6"/>
  <c r="CT124" i="6"/>
  <c r="CS124" i="6"/>
  <c r="CV123" i="6"/>
  <c r="CT123" i="6"/>
  <c r="CS123" i="6"/>
  <c r="CV122" i="6"/>
  <c r="CT122" i="6"/>
  <c r="CS122" i="6"/>
  <c r="CV121" i="6"/>
  <c r="CT121" i="6"/>
  <c r="CS121" i="6"/>
  <c r="CV120" i="6"/>
  <c r="CT120" i="6"/>
  <c r="CS120" i="6"/>
  <c r="CT119" i="6"/>
  <c r="CS119" i="6"/>
  <c r="CT118" i="6"/>
  <c r="CS118" i="6"/>
  <c r="CT117" i="6"/>
  <c r="CS117" i="6"/>
  <c r="CV116" i="6"/>
  <c r="CT116" i="6"/>
  <c r="CS116" i="6"/>
  <c r="CV115" i="6"/>
  <c r="CT115" i="6"/>
  <c r="CS115" i="6"/>
  <c r="CV114" i="6"/>
  <c r="CT114" i="6"/>
  <c r="CS114" i="6"/>
  <c r="CV113" i="6"/>
  <c r="CT113" i="6"/>
  <c r="CS113" i="6"/>
  <c r="CV112" i="6"/>
  <c r="CT112" i="6"/>
  <c r="CS112" i="6"/>
  <c r="CV111" i="6"/>
  <c r="CT111" i="6"/>
  <c r="CS111" i="6"/>
  <c r="CV110" i="6"/>
  <c r="CT110" i="6"/>
  <c r="CS110" i="6"/>
  <c r="CV109" i="6"/>
  <c r="CT109" i="6"/>
  <c r="CS109" i="6"/>
  <c r="CV108" i="6"/>
  <c r="CT108" i="6"/>
  <c r="CS108" i="6"/>
  <c r="CV559" i="6"/>
  <c r="CT559" i="6"/>
  <c r="CS559" i="6"/>
  <c r="CV558" i="6"/>
  <c r="CT558" i="6"/>
  <c r="CS558" i="6"/>
  <c r="CV557" i="6"/>
  <c r="CT557" i="6"/>
  <c r="CS557" i="6"/>
  <c r="CV556" i="6"/>
  <c r="CT556" i="6"/>
  <c r="CS556" i="6"/>
  <c r="CV555" i="6"/>
  <c r="CT555" i="6"/>
  <c r="CS555" i="6"/>
  <c r="CV554" i="6"/>
  <c r="CT554" i="6"/>
  <c r="CS554" i="6"/>
  <c r="CV553" i="6"/>
  <c r="CT553" i="6"/>
  <c r="CS553" i="6"/>
  <c r="CV552" i="6"/>
  <c r="CT552" i="6"/>
  <c r="CS552" i="6"/>
  <c r="CV551" i="6"/>
  <c r="CT551" i="6"/>
  <c r="CS551" i="6"/>
  <c r="CV550" i="6"/>
  <c r="CT550" i="6"/>
  <c r="CS550" i="6"/>
  <c r="CV549" i="6"/>
  <c r="CT549" i="6"/>
  <c r="CS549" i="6"/>
  <c r="CV548" i="6"/>
  <c r="CT548" i="6"/>
  <c r="CS548" i="6"/>
  <c r="CV547" i="6"/>
  <c r="CT547" i="6"/>
  <c r="CS547" i="6"/>
  <c r="CV546" i="6"/>
  <c r="CT546" i="6"/>
  <c r="CS546" i="6"/>
  <c r="CV545" i="6"/>
  <c r="CT545" i="6"/>
  <c r="CS545" i="6"/>
  <c r="CV544" i="6"/>
  <c r="CT544" i="6"/>
  <c r="CS544" i="6"/>
  <c r="CV543" i="6"/>
  <c r="CT543" i="6"/>
  <c r="CS543" i="6"/>
  <c r="CV542" i="6"/>
  <c r="CT542" i="6"/>
  <c r="CS542" i="6"/>
  <c r="CV541" i="6"/>
  <c r="CT541" i="6"/>
  <c r="CS541" i="6"/>
  <c r="CV540" i="6"/>
  <c r="CT540" i="6"/>
  <c r="CS540" i="6"/>
  <c r="CV539" i="6"/>
  <c r="CT539" i="6"/>
  <c r="CS539" i="6"/>
  <c r="CV538" i="6"/>
  <c r="CT538" i="6"/>
  <c r="CS538" i="6"/>
  <c r="CV537" i="6"/>
  <c r="CT537" i="6"/>
  <c r="CS537" i="6"/>
  <c r="CV536" i="6"/>
  <c r="CT536" i="6"/>
  <c r="CS536" i="6"/>
  <c r="CV535" i="6"/>
  <c r="CT535" i="6"/>
  <c r="CS535" i="6"/>
  <c r="CV534" i="6"/>
  <c r="CT534" i="6"/>
  <c r="CS534" i="6"/>
  <c r="CV533" i="6"/>
  <c r="CT533" i="6"/>
  <c r="CS533" i="6"/>
  <c r="CV532" i="6"/>
  <c r="CT532" i="6"/>
  <c r="CS532" i="6"/>
  <c r="CV531" i="6"/>
  <c r="CT531" i="6"/>
  <c r="CS531" i="6"/>
  <c r="CV530" i="6"/>
  <c r="CT530" i="6"/>
  <c r="CS530" i="6"/>
  <c r="CV529" i="6"/>
  <c r="CT529" i="6"/>
  <c r="CS529" i="6"/>
  <c r="CV528" i="6"/>
  <c r="CT528" i="6"/>
  <c r="CS528" i="6"/>
  <c r="CV527" i="6"/>
  <c r="CT527" i="6"/>
  <c r="CS527" i="6"/>
  <c r="CV526" i="6"/>
  <c r="CT526" i="6"/>
  <c r="CS526" i="6"/>
  <c r="CV525" i="6"/>
  <c r="CT525" i="6"/>
  <c r="CS525" i="6"/>
  <c r="CV524" i="6"/>
  <c r="CT524" i="6"/>
  <c r="CS524" i="6"/>
  <c r="CV523" i="6"/>
  <c r="CT523" i="6"/>
  <c r="CS523" i="6"/>
  <c r="CV522" i="6"/>
  <c r="CT522" i="6"/>
  <c r="CS522" i="6"/>
  <c r="CV521" i="6"/>
  <c r="CT521" i="6"/>
  <c r="CS521" i="6"/>
  <c r="CV520" i="6"/>
  <c r="CT520" i="6"/>
  <c r="CS520" i="6"/>
  <c r="CV519" i="6"/>
  <c r="CT519" i="6"/>
  <c r="CS519" i="6"/>
  <c r="CV518" i="6"/>
  <c r="CT518" i="6"/>
  <c r="CS518" i="6"/>
  <c r="CV517" i="6"/>
  <c r="CT517" i="6"/>
  <c r="CS517" i="6"/>
  <c r="CV516" i="6"/>
  <c r="CT516" i="6"/>
  <c r="CS516" i="6"/>
  <c r="CV515" i="6"/>
  <c r="CT515" i="6"/>
  <c r="CS515" i="6"/>
  <c r="CV514" i="6"/>
  <c r="CT514" i="6"/>
  <c r="CS514" i="6"/>
  <c r="CV513" i="6"/>
  <c r="CT513" i="6"/>
  <c r="CS513" i="6"/>
  <c r="CV512" i="6"/>
  <c r="CT512" i="6"/>
  <c r="CS512" i="6"/>
  <c r="CV511" i="6"/>
  <c r="CT511" i="6"/>
  <c r="CS511" i="6"/>
  <c r="CV510" i="6"/>
  <c r="CT510" i="6"/>
  <c r="CS510" i="6"/>
  <c r="CV509" i="6"/>
  <c r="CT509" i="6"/>
  <c r="CS509" i="6"/>
  <c r="CV508" i="6"/>
  <c r="CT508" i="6"/>
  <c r="CS508" i="6"/>
  <c r="CV507" i="6"/>
  <c r="CT507" i="6"/>
  <c r="CS507" i="6"/>
  <c r="CV506" i="6"/>
  <c r="CT506" i="6"/>
  <c r="CS506" i="6"/>
  <c r="CV505" i="6"/>
  <c r="CT505" i="6"/>
  <c r="CS505" i="6"/>
  <c r="CV504" i="6"/>
  <c r="CT504" i="6"/>
  <c r="CS504" i="6"/>
  <c r="CV503" i="6"/>
  <c r="CT503" i="6"/>
  <c r="CS503" i="6"/>
  <c r="CV502" i="6"/>
  <c r="CT502" i="6"/>
  <c r="CS502" i="6"/>
  <c r="CV501" i="6"/>
  <c r="CT501" i="6"/>
  <c r="CS501" i="6"/>
  <c r="CV500" i="6"/>
  <c r="CT500" i="6"/>
  <c r="CS500" i="6"/>
  <c r="CV499" i="6"/>
  <c r="CT499" i="6"/>
  <c r="CS499" i="6"/>
  <c r="CV498" i="6"/>
  <c r="CT498" i="6"/>
  <c r="CS498" i="6"/>
  <c r="CV497" i="6"/>
  <c r="CT497" i="6"/>
  <c r="CS497" i="6"/>
  <c r="CV496" i="6"/>
  <c r="CS496" i="6"/>
  <c r="CV495" i="6"/>
  <c r="CT495" i="6"/>
  <c r="CS495" i="6"/>
  <c r="CV494" i="6"/>
  <c r="CT494" i="6"/>
  <c r="CS494" i="6"/>
  <c r="CV493" i="6"/>
  <c r="CT493" i="6"/>
  <c r="CS493" i="6"/>
  <c r="CV492" i="6"/>
  <c r="CT492" i="6"/>
  <c r="CS492" i="6"/>
  <c r="CV491" i="6"/>
  <c r="CT491" i="6"/>
  <c r="CS491" i="6"/>
  <c r="CV490" i="6"/>
  <c r="CT490" i="6"/>
  <c r="CS490" i="6"/>
  <c r="CV489" i="6"/>
  <c r="CT489" i="6"/>
  <c r="CS489" i="6"/>
  <c r="CV488" i="6"/>
  <c r="CT488" i="6"/>
  <c r="CS488" i="6"/>
  <c r="CV487" i="6"/>
  <c r="CT487" i="6"/>
  <c r="CS487" i="6"/>
  <c r="CV486" i="6"/>
  <c r="CT486" i="6"/>
  <c r="CS486" i="6"/>
  <c r="CV485" i="6"/>
  <c r="CT485" i="6"/>
  <c r="CS485" i="6"/>
  <c r="CV484" i="6"/>
  <c r="CT484" i="6"/>
  <c r="CS484" i="6"/>
  <c r="CV483" i="6"/>
  <c r="CT483" i="6"/>
  <c r="CS483" i="6"/>
  <c r="CV482" i="6"/>
  <c r="CT482" i="6"/>
  <c r="CS482" i="6"/>
  <c r="CV481" i="6"/>
  <c r="CT481" i="6"/>
  <c r="CS481" i="6"/>
  <c r="CV480" i="6"/>
  <c r="CT480" i="6"/>
  <c r="CS480" i="6"/>
  <c r="CV479" i="6"/>
  <c r="CT479" i="6"/>
  <c r="CS479" i="6"/>
  <c r="CV478" i="6"/>
  <c r="CT478" i="6"/>
  <c r="CS478" i="6"/>
  <c r="CV477" i="6"/>
  <c r="CT477" i="6"/>
  <c r="CS477" i="6"/>
  <c r="CV476" i="6"/>
  <c r="CT476" i="6"/>
  <c r="CS476" i="6"/>
  <c r="CV475" i="6"/>
  <c r="CT475" i="6"/>
  <c r="CS475" i="6"/>
  <c r="CV474" i="6"/>
  <c r="CT474" i="6"/>
  <c r="CS474" i="6"/>
  <c r="CV473" i="6"/>
  <c r="CT473" i="6"/>
  <c r="CS473" i="6"/>
  <c r="CV472" i="6"/>
  <c r="CT472" i="6"/>
  <c r="CS472" i="6"/>
  <c r="CV471" i="6"/>
  <c r="CT471" i="6"/>
  <c r="CS471" i="6"/>
  <c r="CV470" i="6"/>
  <c r="CT470" i="6"/>
  <c r="CS470" i="6"/>
  <c r="CV469" i="6"/>
  <c r="CT469" i="6"/>
  <c r="CS469" i="6"/>
  <c r="CV468" i="6"/>
  <c r="CT468" i="6"/>
  <c r="CS468" i="6"/>
  <c r="CV467" i="6"/>
  <c r="CT467" i="6"/>
  <c r="CS467" i="6"/>
  <c r="CV466" i="6"/>
  <c r="CT466" i="6"/>
  <c r="CS466" i="6"/>
  <c r="CV465" i="6"/>
  <c r="CT465" i="6"/>
  <c r="CS465" i="6"/>
  <c r="CV464" i="6"/>
  <c r="CT464" i="6"/>
  <c r="CS464" i="6"/>
  <c r="CV463" i="6"/>
  <c r="CT463" i="6"/>
  <c r="CS463" i="6"/>
  <c r="CV462" i="6"/>
  <c r="CT462" i="6"/>
  <c r="CS462" i="6"/>
  <c r="CV461" i="6"/>
  <c r="CT461" i="6"/>
  <c r="CS461" i="6"/>
  <c r="CV460" i="6"/>
  <c r="CT460" i="6"/>
  <c r="CS460" i="6"/>
  <c r="CV459" i="6"/>
  <c r="CT459" i="6"/>
  <c r="CS459" i="6"/>
  <c r="CV458" i="6"/>
  <c r="CT458" i="6"/>
  <c r="CS458" i="6"/>
  <c r="CV457" i="6"/>
  <c r="CT457" i="6"/>
  <c r="CS457" i="6"/>
  <c r="CV456" i="6"/>
  <c r="CT456" i="6"/>
  <c r="CS456" i="6"/>
  <c r="CV455" i="6"/>
  <c r="CT455" i="6"/>
  <c r="CS455" i="6"/>
  <c r="CV454" i="6"/>
  <c r="CT454" i="6"/>
  <c r="CS454" i="6"/>
  <c r="CV453" i="6"/>
  <c r="CT453" i="6"/>
  <c r="CS453" i="6"/>
  <c r="CV452" i="6"/>
  <c r="CT452" i="6"/>
  <c r="CS452" i="6"/>
  <c r="CV451" i="6"/>
  <c r="CT451" i="6"/>
  <c r="CS451" i="6"/>
  <c r="CV450" i="6"/>
  <c r="CT450" i="6"/>
  <c r="CS450" i="6"/>
  <c r="CV449" i="6"/>
  <c r="CT449" i="6"/>
  <c r="CS449" i="6"/>
  <c r="CV448" i="6"/>
  <c r="CT448" i="6"/>
  <c r="CS448" i="6"/>
  <c r="CV447" i="6"/>
  <c r="CT447" i="6"/>
  <c r="CS447" i="6"/>
  <c r="CV446" i="6"/>
  <c r="CT446" i="6"/>
  <c r="CS446" i="6"/>
  <c r="CV445" i="6"/>
  <c r="CT445" i="6"/>
  <c r="CS445" i="6"/>
  <c r="CV444" i="6"/>
  <c r="CT444" i="6"/>
  <c r="CS444" i="6"/>
  <c r="CV443" i="6"/>
  <c r="CT443" i="6"/>
  <c r="CS443" i="6"/>
  <c r="CV442" i="6"/>
  <c r="CT442" i="6"/>
  <c r="CS442" i="6"/>
  <c r="CT441" i="6"/>
  <c r="CS441" i="6"/>
  <c r="CV439" i="6"/>
  <c r="CT439" i="6"/>
  <c r="CS439" i="6"/>
  <c r="CV438" i="6"/>
  <c r="CT438" i="6"/>
  <c r="CS438" i="6"/>
  <c r="CV437" i="6"/>
  <c r="CT437" i="6"/>
  <c r="CS437" i="6"/>
  <c r="CV436" i="6"/>
  <c r="CT436" i="6"/>
  <c r="CS436" i="6"/>
  <c r="CV435" i="6"/>
  <c r="CT435" i="6"/>
  <c r="CS435" i="6"/>
  <c r="CV434" i="6"/>
  <c r="CT434" i="6"/>
  <c r="CS434" i="6"/>
  <c r="CV433" i="6"/>
  <c r="CT433" i="6"/>
  <c r="CS433" i="6"/>
  <c r="CV432" i="6"/>
  <c r="CT432" i="6"/>
  <c r="CS432" i="6"/>
  <c r="CV431" i="6"/>
  <c r="CT431" i="6"/>
  <c r="CS431" i="6"/>
  <c r="CV430" i="6"/>
  <c r="CT430" i="6"/>
  <c r="CS430" i="6"/>
  <c r="CV429" i="6"/>
  <c r="CT429" i="6"/>
  <c r="CS429" i="6"/>
  <c r="CV428" i="6"/>
  <c r="CT428" i="6"/>
  <c r="CS428" i="6"/>
  <c r="CV427" i="6"/>
  <c r="CT427" i="6"/>
  <c r="CS427" i="6"/>
  <c r="CV426" i="6"/>
  <c r="CT426" i="6"/>
  <c r="CS426" i="6"/>
  <c r="CV425" i="6"/>
  <c r="CT425" i="6"/>
  <c r="CS425" i="6"/>
  <c r="CV424" i="6"/>
  <c r="CT424" i="6"/>
  <c r="CS424" i="6"/>
  <c r="CV423" i="6"/>
  <c r="CT423" i="6"/>
  <c r="CS423" i="6"/>
  <c r="CV422" i="6"/>
  <c r="CT422" i="6"/>
  <c r="CS422" i="6"/>
  <c r="CV421" i="6"/>
  <c r="CT421" i="6"/>
  <c r="CS421" i="6"/>
  <c r="CV420" i="6"/>
  <c r="CT420" i="6"/>
  <c r="CS420" i="6"/>
  <c r="CV419" i="6"/>
  <c r="CT419" i="6"/>
  <c r="CS419" i="6"/>
  <c r="CV418" i="6"/>
  <c r="CT418" i="6"/>
  <c r="CS418" i="6"/>
  <c r="CV417" i="6"/>
  <c r="CT417" i="6"/>
  <c r="CS417" i="6"/>
  <c r="CV416" i="6"/>
  <c r="CT416" i="6"/>
  <c r="CS416" i="6"/>
  <c r="CV415" i="6"/>
  <c r="CT415" i="6"/>
  <c r="CS415" i="6"/>
  <c r="CV414" i="6"/>
  <c r="CT414" i="6"/>
  <c r="CS414" i="6"/>
  <c r="CV413" i="6"/>
  <c r="CT413" i="6"/>
  <c r="CS413" i="6"/>
  <c r="CV412" i="6"/>
  <c r="CT412" i="6"/>
  <c r="CS412" i="6"/>
  <c r="CV411" i="6"/>
  <c r="CT411" i="6"/>
  <c r="CS411" i="6"/>
  <c r="CV410" i="6"/>
  <c r="CT410" i="6"/>
  <c r="CS410" i="6"/>
  <c r="CV409" i="6"/>
  <c r="CT409" i="6"/>
  <c r="CS409" i="6"/>
  <c r="CV408" i="6"/>
  <c r="CT408" i="6"/>
  <c r="CS408" i="6"/>
  <c r="CV407" i="6"/>
  <c r="CT407" i="6"/>
  <c r="CS407" i="6"/>
  <c r="CV406" i="6"/>
  <c r="CT406" i="6"/>
  <c r="CS406" i="6"/>
  <c r="CV405" i="6"/>
  <c r="CT405" i="6"/>
  <c r="CS405" i="6"/>
  <c r="CV404" i="6"/>
  <c r="CT404" i="6"/>
  <c r="CS404" i="6"/>
  <c r="CV403" i="6"/>
  <c r="CT403" i="6"/>
  <c r="CS403" i="6"/>
  <c r="CV402" i="6"/>
  <c r="CT402" i="6"/>
  <c r="CS402" i="6"/>
  <c r="CV401" i="6"/>
  <c r="CT401" i="6"/>
  <c r="CS401" i="6"/>
  <c r="CV400" i="6"/>
  <c r="CT400" i="6"/>
  <c r="CS400" i="6"/>
  <c r="CV399" i="6"/>
  <c r="CT399" i="6"/>
  <c r="CS399" i="6"/>
  <c r="CV398" i="6"/>
  <c r="CT398" i="6"/>
  <c r="CS398" i="6"/>
  <c r="CV397" i="6"/>
  <c r="CT397" i="6"/>
  <c r="CS397" i="6"/>
  <c r="CV396" i="6"/>
  <c r="CT396" i="6"/>
  <c r="CS396" i="6"/>
  <c r="CV395" i="6"/>
  <c r="CT395" i="6"/>
  <c r="CS395" i="6"/>
  <c r="CV394" i="6"/>
  <c r="CT394" i="6"/>
  <c r="CS394" i="6"/>
  <c r="CV393" i="6"/>
  <c r="CT393" i="6"/>
  <c r="CS393" i="6"/>
  <c r="CV392" i="6"/>
  <c r="CT392" i="6"/>
  <c r="CS392" i="6"/>
  <c r="CV391" i="6"/>
  <c r="CT391" i="6"/>
  <c r="CS391" i="6"/>
  <c r="CV390" i="6"/>
  <c r="CT390" i="6"/>
  <c r="CS390" i="6"/>
  <c r="CV389" i="6"/>
  <c r="CT389" i="6"/>
  <c r="CS389" i="6"/>
  <c r="CV388" i="6"/>
  <c r="CT388" i="6"/>
  <c r="CS388" i="6"/>
  <c r="CV387" i="6"/>
  <c r="CT387" i="6"/>
  <c r="CS387" i="6"/>
  <c r="CV386" i="6"/>
  <c r="CT386" i="6"/>
  <c r="CS386" i="6"/>
  <c r="CV385" i="6"/>
  <c r="CT385" i="6"/>
  <c r="CS385" i="6"/>
  <c r="CV384" i="6"/>
  <c r="CT384" i="6"/>
  <c r="CS384" i="6"/>
  <c r="CV383" i="6"/>
  <c r="CT383" i="6"/>
  <c r="CS383" i="6"/>
  <c r="CV382" i="6"/>
  <c r="CT382" i="6"/>
  <c r="CS382" i="6"/>
  <c r="CV381" i="6"/>
  <c r="CT381" i="6"/>
  <c r="CS381" i="6"/>
  <c r="CV380" i="6"/>
  <c r="CT380" i="6"/>
  <c r="CS380" i="6"/>
  <c r="CV379" i="6"/>
  <c r="CT379" i="6"/>
  <c r="CS379" i="6"/>
  <c r="CV378" i="6"/>
  <c r="CT378" i="6"/>
  <c r="CS378" i="6"/>
  <c r="CV377" i="6"/>
  <c r="CT377" i="6"/>
  <c r="CS377" i="6"/>
  <c r="CV376" i="6"/>
  <c r="CT376" i="6"/>
  <c r="CS376" i="6"/>
  <c r="CV375" i="6"/>
  <c r="CT375" i="6"/>
  <c r="CS375" i="6"/>
  <c r="CV374" i="6"/>
  <c r="CT374" i="6"/>
  <c r="CS374" i="6"/>
  <c r="CV373" i="6"/>
  <c r="CT373" i="6"/>
  <c r="CS373" i="6"/>
  <c r="CV372" i="6"/>
  <c r="CT372" i="6"/>
  <c r="CS372" i="6"/>
  <c r="CV371" i="6"/>
  <c r="CT371" i="6"/>
  <c r="CS371" i="6"/>
  <c r="CV370" i="6"/>
  <c r="CT370" i="6"/>
  <c r="CS370" i="6"/>
  <c r="CV369" i="6"/>
  <c r="CT369" i="6"/>
  <c r="CS369" i="6"/>
  <c r="CV368" i="6"/>
  <c r="CT368" i="6"/>
  <c r="CS368" i="6"/>
  <c r="CV367" i="6"/>
  <c r="CT367" i="6"/>
  <c r="CS367" i="6"/>
  <c r="CV366" i="6"/>
  <c r="CT366" i="6"/>
  <c r="CS366" i="6"/>
  <c r="CV365" i="6"/>
  <c r="CV364" i="6"/>
  <c r="CT364" i="6"/>
  <c r="CS364" i="6"/>
  <c r="CV363" i="6"/>
  <c r="CT363" i="6"/>
  <c r="CS363" i="6"/>
  <c r="CV362" i="6"/>
  <c r="CT362" i="6"/>
  <c r="CS362" i="6"/>
  <c r="CV361" i="6"/>
  <c r="CT361" i="6"/>
  <c r="CS361" i="6"/>
  <c r="CV360" i="6"/>
  <c r="CT360" i="6"/>
  <c r="CS360" i="6"/>
  <c r="CV359" i="6"/>
  <c r="CT359" i="6"/>
  <c r="CS359" i="6"/>
  <c r="CV358" i="6"/>
  <c r="CT358" i="6"/>
  <c r="CS358" i="6"/>
  <c r="CV357" i="6"/>
  <c r="CT357" i="6"/>
  <c r="CS357" i="6"/>
  <c r="CV356" i="6"/>
  <c r="CT356" i="6"/>
  <c r="CS356" i="6"/>
  <c r="CV355" i="6"/>
  <c r="CT355" i="6"/>
  <c r="CS355" i="6"/>
  <c r="CV354" i="6"/>
  <c r="CT354" i="6"/>
  <c r="CS354" i="6"/>
  <c r="CV353" i="6"/>
  <c r="CT353" i="6"/>
  <c r="CS353" i="6"/>
  <c r="CV352" i="6"/>
  <c r="CT352" i="6"/>
  <c r="CS352" i="6"/>
  <c r="CV351" i="6"/>
  <c r="CT351" i="6"/>
  <c r="CS351" i="6"/>
  <c r="CV350" i="6"/>
  <c r="CT350" i="6"/>
  <c r="CS350" i="6"/>
  <c r="CV349" i="6"/>
  <c r="CT349" i="6"/>
  <c r="CS349" i="6"/>
  <c r="CV348" i="6"/>
  <c r="CT348" i="6"/>
  <c r="CS348" i="6"/>
  <c r="CV347" i="6"/>
  <c r="CT347" i="6"/>
  <c r="CS347" i="6"/>
  <c r="CV346" i="6"/>
  <c r="CT346" i="6"/>
  <c r="CS346" i="6"/>
  <c r="CV345" i="6"/>
  <c r="CT345" i="6"/>
  <c r="CS345" i="6"/>
  <c r="CV344" i="6"/>
  <c r="CT344" i="6"/>
  <c r="CS344" i="6"/>
  <c r="CV343" i="6"/>
  <c r="CT343" i="6"/>
  <c r="CS343" i="6"/>
  <c r="CV342" i="6"/>
  <c r="CT342" i="6"/>
  <c r="CS342" i="6"/>
  <c r="CV341" i="6"/>
  <c r="CT341" i="6"/>
  <c r="CS341" i="6"/>
  <c r="CV340" i="6"/>
  <c r="CT340" i="6"/>
  <c r="CS340" i="6"/>
  <c r="CV339" i="6"/>
  <c r="CS339" i="6"/>
  <c r="CV338" i="6"/>
  <c r="CT338" i="6"/>
  <c r="CS338" i="6"/>
  <c r="CV337" i="6"/>
  <c r="CT337" i="6"/>
  <c r="CS337" i="6"/>
  <c r="CV336" i="6"/>
  <c r="CT336" i="6"/>
  <c r="CS336" i="6"/>
  <c r="CV335" i="6"/>
  <c r="CT335" i="6"/>
  <c r="CS335" i="6"/>
  <c r="CV334" i="6"/>
  <c r="CT334" i="6"/>
  <c r="CS334" i="6"/>
  <c r="CV333" i="6"/>
  <c r="CT333" i="6"/>
  <c r="CS333" i="6"/>
  <c r="CV332" i="6"/>
  <c r="CT332" i="6"/>
  <c r="CS332" i="6"/>
  <c r="CV331" i="6"/>
  <c r="CT331" i="6"/>
  <c r="CS331" i="6"/>
  <c r="CV330" i="6"/>
  <c r="CT330" i="6"/>
  <c r="CS330" i="6"/>
  <c r="CV329" i="6"/>
  <c r="CT329" i="6"/>
  <c r="CS329" i="6"/>
  <c r="CV328" i="6"/>
  <c r="CT328" i="6"/>
  <c r="CS328" i="6"/>
  <c r="CV327" i="6"/>
  <c r="CT327" i="6"/>
  <c r="CS327" i="6"/>
  <c r="CV326" i="6"/>
  <c r="CT326" i="6"/>
  <c r="CS326" i="6"/>
  <c r="CV325" i="6"/>
  <c r="CT325" i="6"/>
  <c r="CS325" i="6"/>
  <c r="CV324" i="6"/>
  <c r="CT324" i="6"/>
  <c r="CS324" i="6"/>
  <c r="CV323" i="6"/>
  <c r="CT323" i="6"/>
  <c r="CS323" i="6"/>
  <c r="CV322" i="6"/>
  <c r="CT322" i="6"/>
  <c r="CS322" i="6"/>
  <c r="CV321" i="6"/>
  <c r="CT321" i="6"/>
  <c r="CS321" i="6"/>
  <c r="CV320" i="6"/>
  <c r="CT320" i="6"/>
  <c r="CS320" i="6"/>
  <c r="CV319" i="6"/>
  <c r="CT319" i="6"/>
  <c r="CS319" i="6"/>
  <c r="CV318" i="6"/>
  <c r="CT318" i="6"/>
  <c r="CS318" i="6"/>
  <c r="CV317" i="6"/>
  <c r="CT317" i="6"/>
  <c r="CS317" i="6"/>
  <c r="CV316" i="6"/>
  <c r="CT316" i="6"/>
  <c r="CS316" i="6"/>
  <c r="CV315" i="6"/>
  <c r="CT315" i="6"/>
  <c r="CS315" i="6"/>
  <c r="CV314" i="6"/>
  <c r="CT314" i="6"/>
  <c r="CS314" i="6"/>
  <c r="CV313" i="6"/>
  <c r="CS313" i="6"/>
  <c r="CV312" i="6"/>
  <c r="CT312" i="6"/>
  <c r="CS312" i="6"/>
  <c r="CV311" i="6"/>
  <c r="CT311" i="6"/>
  <c r="CS311" i="6"/>
  <c r="CV310" i="6"/>
  <c r="CT310" i="6"/>
  <c r="CS310" i="6"/>
  <c r="CV309" i="6"/>
  <c r="CT309" i="6"/>
  <c r="CS309" i="6"/>
  <c r="CV308" i="6"/>
  <c r="CT308" i="6"/>
  <c r="CS308" i="6"/>
  <c r="CV307" i="6"/>
  <c r="CT307" i="6"/>
  <c r="CS307" i="6"/>
  <c r="CV306" i="6"/>
  <c r="CT306" i="6"/>
  <c r="CS306" i="6"/>
  <c r="CV305" i="6"/>
  <c r="CT305" i="6"/>
  <c r="CS305" i="6"/>
  <c r="CV304" i="6"/>
  <c r="CT304" i="6"/>
  <c r="CS304" i="6"/>
  <c r="CV303" i="6"/>
  <c r="CT303" i="6"/>
  <c r="CS303" i="6"/>
  <c r="CV302" i="6"/>
  <c r="CT302" i="6"/>
  <c r="CS302" i="6"/>
  <c r="CV301" i="6"/>
  <c r="CS301" i="6"/>
  <c r="CV300" i="6"/>
  <c r="CT300" i="6"/>
  <c r="CS300" i="6"/>
  <c r="CV299" i="6"/>
  <c r="CT299" i="6"/>
  <c r="CS299" i="6"/>
  <c r="CV298" i="6"/>
  <c r="CT298" i="6"/>
  <c r="CS298" i="6"/>
  <c r="CV297" i="6"/>
  <c r="CT297" i="6"/>
  <c r="CS297" i="6"/>
  <c r="CV296" i="6"/>
  <c r="CT296" i="6"/>
  <c r="CS296" i="6"/>
  <c r="CV295" i="6"/>
  <c r="CT295" i="6"/>
  <c r="CS295" i="6"/>
  <c r="CV294" i="6"/>
  <c r="CT294" i="6"/>
  <c r="CS294" i="6"/>
  <c r="CV293" i="6"/>
  <c r="CT293" i="6"/>
  <c r="CS293" i="6"/>
  <c r="CV292" i="6"/>
  <c r="CT292" i="6"/>
  <c r="CS292" i="6"/>
  <c r="CV291" i="6"/>
  <c r="CT291" i="6"/>
  <c r="CS291" i="6"/>
  <c r="CV290" i="6"/>
  <c r="CT290" i="6"/>
  <c r="CS290" i="6"/>
  <c r="CV289" i="6"/>
  <c r="CT289" i="6"/>
  <c r="CS289" i="6"/>
  <c r="CV288" i="6"/>
  <c r="CT288" i="6"/>
  <c r="CS288" i="6"/>
  <c r="CV287" i="6"/>
  <c r="CS287" i="6"/>
  <c r="CV286" i="6"/>
  <c r="CS286" i="6"/>
  <c r="CV285" i="6"/>
  <c r="CS285" i="6"/>
  <c r="CV284" i="6"/>
  <c r="CS284" i="6"/>
  <c r="CV283" i="6"/>
  <c r="CS283" i="6"/>
  <c r="CV282" i="6"/>
  <c r="CS282" i="6"/>
  <c r="CV281" i="6"/>
  <c r="CS281" i="6"/>
  <c r="CV280" i="6"/>
  <c r="CT280" i="6"/>
  <c r="CS280" i="6"/>
  <c r="CV279" i="6"/>
  <c r="CS279" i="6"/>
  <c r="CV278" i="6"/>
  <c r="CS278" i="6"/>
  <c r="CV277" i="6"/>
  <c r="CS277" i="6"/>
  <c r="CV276" i="6"/>
  <c r="CT276" i="6"/>
  <c r="CS276" i="6"/>
  <c r="CV275" i="6"/>
  <c r="CT275" i="6"/>
  <c r="CS275" i="6"/>
  <c r="CV274" i="6"/>
  <c r="CT274" i="6"/>
  <c r="CS274" i="6"/>
  <c r="CV273" i="6"/>
  <c r="CT273" i="6"/>
  <c r="CS273" i="6"/>
  <c r="CV272" i="6"/>
  <c r="CT272" i="6"/>
  <c r="CS272" i="6"/>
  <c r="CV271" i="6"/>
  <c r="CT271" i="6"/>
  <c r="CS271" i="6"/>
  <c r="CV270" i="6"/>
  <c r="CT270" i="6"/>
  <c r="CS270" i="6"/>
  <c r="CV269" i="6"/>
  <c r="CT269" i="6"/>
  <c r="CS269" i="6"/>
  <c r="CV268" i="6"/>
  <c r="CT268" i="6"/>
  <c r="CS268" i="6"/>
  <c r="CV267" i="6"/>
  <c r="CT267" i="6"/>
  <c r="CS267" i="6"/>
  <c r="CV266" i="6"/>
  <c r="CT266" i="6"/>
  <c r="CS266" i="6"/>
  <c r="CV265" i="6"/>
  <c r="CT265" i="6"/>
  <c r="CS265" i="6"/>
  <c r="CV264" i="6"/>
  <c r="CT264" i="6"/>
  <c r="CS264" i="6"/>
  <c r="CV263" i="6"/>
  <c r="CT263" i="6"/>
  <c r="CS263" i="6"/>
  <c r="CV262" i="6"/>
  <c r="CT262" i="6"/>
  <c r="CS262" i="6"/>
  <c r="CV261" i="6"/>
  <c r="CT261" i="6"/>
  <c r="CS261" i="6"/>
  <c r="CV260" i="6"/>
  <c r="CT260" i="6"/>
  <c r="CS260" i="6"/>
  <c r="CV259" i="6"/>
  <c r="CT259" i="6"/>
  <c r="CS259" i="6"/>
  <c r="CV258" i="6"/>
  <c r="CT258" i="6"/>
  <c r="CS258" i="6"/>
  <c r="CV257" i="6"/>
  <c r="CT257" i="6"/>
  <c r="CS257" i="6"/>
  <c r="CV256" i="6"/>
  <c r="CT256" i="6"/>
  <c r="CS256" i="6"/>
  <c r="CV255" i="6"/>
  <c r="CT255" i="6"/>
  <c r="CS255" i="6"/>
  <c r="CV254" i="6"/>
  <c r="CT254" i="6"/>
  <c r="CS254" i="6"/>
  <c r="CV253" i="6"/>
  <c r="CT253" i="6"/>
  <c r="CS253" i="6"/>
  <c r="CV252" i="6"/>
  <c r="CT252" i="6"/>
  <c r="CS252" i="6"/>
  <c r="CV251" i="6"/>
  <c r="CT251" i="6"/>
  <c r="CS251" i="6"/>
  <c r="CV250" i="6"/>
  <c r="CT250" i="6"/>
  <c r="CS250" i="6"/>
  <c r="CV249" i="6"/>
  <c r="CT249" i="6"/>
  <c r="CS249" i="6"/>
  <c r="CV248" i="6"/>
  <c r="CT248" i="6"/>
  <c r="CS248" i="6"/>
  <c r="CV247" i="6"/>
  <c r="CT247" i="6"/>
  <c r="CS247" i="6"/>
  <c r="CV246" i="6"/>
  <c r="CT246" i="6"/>
  <c r="CS246" i="6"/>
  <c r="CV245" i="6"/>
  <c r="CT245" i="6"/>
  <c r="CS245" i="6"/>
  <c r="CV244" i="6"/>
  <c r="CT244" i="6"/>
  <c r="CS244" i="6"/>
  <c r="CV243" i="6"/>
  <c r="CT243" i="6"/>
  <c r="CS243" i="6"/>
  <c r="CV242" i="6"/>
  <c r="CT242" i="6"/>
  <c r="CS242" i="6"/>
  <c r="CV241" i="6"/>
  <c r="CT241" i="6"/>
  <c r="CS241" i="6"/>
  <c r="CV240" i="6"/>
  <c r="CT240" i="6"/>
  <c r="CS240" i="6"/>
  <c r="CV239" i="6"/>
  <c r="CT239" i="6"/>
  <c r="CS239" i="6"/>
  <c r="CV238" i="6"/>
  <c r="CT238" i="6"/>
  <c r="CS238" i="6"/>
  <c r="CV237" i="6"/>
  <c r="CT237" i="6"/>
  <c r="CS237" i="6"/>
  <c r="CV236" i="6"/>
  <c r="CT236" i="6"/>
  <c r="CS236" i="6"/>
  <c r="CV235" i="6"/>
  <c r="CT235" i="6"/>
  <c r="CS235" i="6"/>
  <c r="CV234" i="6"/>
  <c r="CT234" i="6"/>
  <c r="CS234" i="6"/>
  <c r="CV233" i="6"/>
  <c r="CT233" i="6"/>
  <c r="CS233" i="6"/>
  <c r="CV232" i="6"/>
  <c r="CT232" i="6"/>
  <c r="CS232" i="6"/>
  <c r="CV231" i="6"/>
  <c r="CT231" i="6"/>
  <c r="CS231" i="6"/>
  <c r="CV230" i="6"/>
  <c r="CT230" i="6"/>
  <c r="CS230" i="6"/>
  <c r="CV229" i="6"/>
  <c r="CT229" i="6"/>
  <c r="CS229" i="6"/>
  <c r="CV228" i="6"/>
  <c r="CT228" i="6"/>
  <c r="CS228" i="6"/>
  <c r="CV227" i="6"/>
  <c r="CT227" i="6"/>
  <c r="CS227" i="6"/>
  <c r="CV226" i="6"/>
  <c r="CT226" i="6"/>
  <c r="CS226" i="6"/>
  <c r="CV225" i="6"/>
  <c r="CT225" i="6"/>
  <c r="CS225" i="6"/>
  <c r="CV224" i="6"/>
  <c r="CT224" i="6"/>
  <c r="CS224" i="6"/>
  <c r="CV223" i="6"/>
  <c r="CT223" i="6"/>
  <c r="CS223" i="6"/>
  <c r="CV22" i="6"/>
  <c r="CT22" i="6"/>
  <c r="CS22" i="6"/>
  <c r="CV21" i="6"/>
  <c r="CT21" i="6"/>
  <c r="CS21" i="6"/>
  <c r="CV20" i="6"/>
  <c r="CT20" i="6"/>
  <c r="CS20" i="6"/>
  <c r="CV19" i="6"/>
  <c r="CT19" i="6"/>
  <c r="CS19" i="6"/>
  <c r="CV18" i="6"/>
  <c r="CT18" i="6"/>
  <c r="CS18" i="6"/>
  <c r="CV17" i="6"/>
  <c r="CT17" i="6"/>
  <c r="CS17" i="6"/>
  <c r="CV16" i="6"/>
  <c r="CT16" i="6"/>
  <c r="CS16" i="6"/>
  <c r="CV15" i="6"/>
  <c r="CT15" i="6"/>
  <c r="CS15" i="6"/>
  <c r="CV14" i="6"/>
  <c r="CT14" i="6"/>
  <c r="CS14" i="6"/>
  <c r="CV13" i="6"/>
  <c r="CT13" i="6"/>
  <c r="CS13" i="6"/>
  <c r="CV12" i="6"/>
  <c r="CT12" i="6"/>
  <c r="CS12" i="6"/>
  <c r="CV11" i="6"/>
  <c r="CT11" i="6"/>
  <c r="CS11" i="6"/>
  <c r="CV10" i="6"/>
  <c r="CT10" i="6"/>
  <c r="CS10" i="6"/>
  <c r="CV9" i="6"/>
  <c r="CT9" i="6"/>
  <c r="CS9" i="6"/>
  <c r="CV8" i="6"/>
  <c r="CT8" i="6"/>
  <c r="CS8" i="6"/>
  <c r="CV7" i="6"/>
  <c r="CT7" i="6"/>
  <c r="CS7" i="6"/>
  <c r="CV6" i="6"/>
  <c r="CT6" i="6"/>
  <c r="CS6" i="6"/>
  <c r="CV5" i="6"/>
  <c r="CT5" i="6"/>
  <c r="CS5" i="6"/>
  <c r="CV4" i="6"/>
  <c r="CT4" i="6"/>
  <c r="CS4" i="6"/>
  <c r="CT3" i="6"/>
  <c r="CS3" i="6"/>
  <c r="CV2" i="6"/>
  <c r="CS2" i="6"/>
  <c r="CT2" i="6"/>
  <c r="CU440" i="6" l="1"/>
  <c r="CU83" i="6"/>
  <c r="CU82" i="6"/>
  <c r="CU89" i="6"/>
  <c r="CU92" i="6"/>
  <c r="CU88" i="6"/>
  <c r="CU84" i="6"/>
  <c r="CU90" i="6"/>
  <c r="CU85" i="6"/>
  <c r="CU87" i="6"/>
  <c r="CU86" i="6"/>
  <c r="CU93" i="6"/>
  <c r="CU91" i="6"/>
  <c r="CU40" i="6"/>
  <c r="CU44" i="6"/>
  <c r="CU52" i="6"/>
  <c r="CU56" i="6"/>
  <c r="CU64" i="6"/>
  <c r="CU68" i="6"/>
  <c r="CU76" i="6"/>
  <c r="CU208" i="6"/>
  <c r="CU212" i="6"/>
  <c r="CU220" i="6"/>
  <c r="CU100" i="6"/>
  <c r="CU104" i="6"/>
  <c r="CU546" i="6"/>
  <c r="CU550" i="6"/>
  <c r="CU558" i="6"/>
  <c r="CU292" i="6"/>
  <c r="CU119" i="6"/>
  <c r="CU43" i="6"/>
  <c r="CU55" i="6"/>
  <c r="CU71" i="6"/>
  <c r="CU217" i="6"/>
  <c r="CU221" i="6"/>
  <c r="CU238" i="6"/>
  <c r="CU302" i="6"/>
  <c r="CU306" i="6"/>
  <c r="CU310" i="6"/>
  <c r="CU323" i="6"/>
  <c r="CU110" i="6"/>
  <c r="CU114" i="6"/>
  <c r="CU159" i="6"/>
  <c r="CU177" i="6"/>
  <c r="CU374" i="6"/>
  <c r="CU324" i="6"/>
  <c r="CU353" i="6"/>
  <c r="CU401" i="6"/>
  <c r="CU405" i="6"/>
  <c r="CU413" i="6"/>
  <c r="CU417" i="6"/>
  <c r="CU270" i="6"/>
  <c r="CU274" i="6"/>
  <c r="CU314" i="6"/>
  <c r="CU318" i="6"/>
  <c r="CU326" i="6"/>
  <c r="CU77" i="6"/>
  <c r="CU248" i="6"/>
  <c r="CU252" i="6"/>
  <c r="CU256" i="6"/>
  <c r="CU260" i="6"/>
  <c r="CU264" i="6"/>
  <c r="CU268" i="6"/>
  <c r="CU514" i="6"/>
  <c r="CU462" i="6"/>
  <c r="CU466" i="6"/>
  <c r="CU474" i="6"/>
  <c r="CU309" i="6"/>
  <c r="CU171" i="6"/>
  <c r="CU183" i="6"/>
  <c r="CU207" i="6"/>
  <c r="CU219" i="6"/>
  <c r="CU376" i="6"/>
  <c r="CU384" i="6"/>
  <c r="CU388" i="6"/>
  <c r="CU392" i="6"/>
  <c r="CU396" i="6"/>
  <c r="CU428" i="6"/>
  <c r="CU432" i="6"/>
  <c r="CU436" i="6"/>
  <c r="CU94" i="6"/>
  <c r="CU296" i="6"/>
  <c r="CU300" i="6"/>
  <c r="CU304" i="6"/>
  <c r="CU138" i="6"/>
  <c r="CU99" i="6"/>
  <c r="CU176" i="6"/>
  <c r="CU184" i="6"/>
  <c r="CU188" i="6"/>
  <c r="CU200" i="6"/>
  <c r="CU33" i="6"/>
  <c r="CU45" i="6"/>
  <c r="CU57" i="6"/>
  <c r="CU410" i="6"/>
  <c r="CU418" i="6"/>
  <c r="CU447" i="6"/>
  <c r="CU131" i="6"/>
  <c r="CU254" i="6"/>
  <c r="CU34" i="6"/>
  <c r="CU38" i="6"/>
  <c r="CU50" i="6"/>
  <c r="CU58" i="6"/>
  <c r="CU62" i="6"/>
  <c r="CU74" i="6"/>
  <c r="CU144" i="6"/>
  <c r="CU156" i="6"/>
  <c r="CU97" i="6"/>
  <c r="CU375" i="6"/>
  <c r="CU387" i="6"/>
  <c r="CU391" i="6"/>
  <c r="CU411" i="6"/>
  <c r="CU419" i="6"/>
  <c r="CU427" i="6"/>
  <c r="CU444" i="6"/>
  <c r="CU448" i="6"/>
  <c r="CU472" i="6"/>
  <c r="CU247" i="6"/>
  <c r="CU255" i="6"/>
  <c r="CU271" i="6"/>
  <c r="CU307" i="6"/>
  <c r="CU250" i="6"/>
  <c r="CU378" i="6"/>
  <c r="CU451" i="6"/>
  <c r="CU475" i="6"/>
  <c r="CU483" i="6"/>
  <c r="CU487" i="6"/>
  <c r="CU519" i="6"/>
  <c r="CU523" i="6"/>
  <c r="CU535" i="6"/>
  <c r="CU543" i="6"/>
  <c r="CU547" i="6"/>
  <c r="CU555" i="6"/>
  <c r="CU559" i="6"/>
  <c r="CU262" i="6"/>
  <c r="CU3" i="6"/>
  <c r="CU7" i="6"/>
  <c r="CU15" i="6"/>
  <c r="CU19" i="6"/>
  <c r="CU223" i="6"/>
  <c r="CU235" i="6"/>
  <c r="CU290" i="6"/>
  <c r="CU347" i="6"/>
  <c r="CU371" i="6"/>
  <c r="CU500" i="6"/>
  <c r="CU508" i="6"/>
  <c r="CU150" i="6"/>
  <c r="CU407" i="6"/>
  <c r="CU456" i="6"/>
  <c r="CU484" i="6"/>
  <c r="CU516" i="6"/>
  <c r="CU520" i="6"/>
  <c r="CU528" i="6"/>
  <c r="CU552" i="6"/>
  <c r="CU556" i="6"/>
  <c r="CU111" i="6"/>
  <c r="CU115" i="6"/>
  <c r="CU224" i="6"/>
  <c r="CU228" i="6"/>
  <c r="CU232" i="6"/>
  <c r="CU295" i="6"/>
  <c r="CU340" i="6"/>
  <c r="CU348" i="6"/>
  <c r="CU360" i="6"/>
  <c r="CU155" i="6"/>
  <c r="CU181" i="6"/>
  <c r="CU185" i="6"/>
  <c r="CU197" i="6"/>
  <c r="CU205" i="6"/>
  <c r="CU308" i="6"/>
  <c r="CU408" i="6"/>
  <c r="CU453" i="6"/>
  <c r="CU457" i="6"/>
  <c r="CU493" i="6"/>
  <c r="CU517" i="6"/>
  <c r="CU525" i="6"/>
  <c r="CU529" i="6"/>
  <c r="CU537" i="6"/>
  <c r="CU541" i="6"/>
  <c r="CU9" i="6"/>
  <c r="CU13" i="6"/>
  <c r="CU21" i="6"/>
  <c r="CU229" i="6"/>
  <c r="CU237" i="6"/>
  <c r="CU369" i="6"/>
  <c r="CU108" i="6"/>
  <c r="CU132" i="6"/>
  <c r="CU253" i="6"/>
  <c r="CU442" i="6"/>
  <c r="CU170" i="6"/>
  <c r="CU178" i="6"/>
  <c r="CU182" i="6"/>
  <c r="CU190" i="6"/>
  <c r="CU194" i="6"/>
  <c r="CU202" i="6"/>
  <c r="CU206" i="6"/>
  <c r="CU218" i="6"/>
  <c r="CU31" i="6"/>
  <c r="CU59" i="6"/>
  <c r="CU18" i="6"/>
  <c r="CU22" i="6"/>
  <c r="CU230" i="6"/>
  <c r="CU289" i="6"/>
  <c r="CU350" i="6"/>
  <c r="CU354" i="6"/>
  <c r="CU362" i="6"/>
  <c r="CU125" i="6"/>
  <c r="CU129" i="6"/>
  <c r="CU153" i="6"/>
  <c r="CU106" i="6"/>
  <c r="CU356" i="6"/>
  <c r="CU242" i="6"/>
  <c r="CU246" i="6"/>
  <c r="CU273" i="6"/>
  <c r="CU288" i="6"/>
  <c r="CU359" i="6"/>
  <c r="CU409" i="6"/>
  <c r="CU266" i="6"/>
  <c r="CU320" i="6"/>
  <c r="CU328" i="6"/>
  <c r="CU332" i="6"/>
  <c r="CU363" i="6"/>
  <c r="CU386" i="6"/>
  <c r="CU390" i="6"/>
  <c r="CU398" i="6"/>
  <c r="CU429" i="6"/>
  <c r="CU454" i="6"/>
  <c r="CU458" i="6"/>
  <c r="CU478" i="6"/>
  <c r="CU482" i="6"/>
  <c r="CU490" i="6"/>
  <c r="CU494" i="6"/>
  <c r="CU498" i="6"/>
  <c r="CU502" i="6"/>
  <c r="CU510" i="6"/>
  <c r="CU526" i="6"/>
  <c r="CU530" i="6"/>
  <c r="CU542" i="6"/>
  <c r="CU8" i="6"/>
  <c r="CU20" i="6"/>
  <c r="CU236" i="6"/>
  <c r="CU259" i="6"/>
  <c r="CU321" i="6"/>
  <c r="CU329" i="6"/>
  <c r="CU333" i="6"/>
  <c r="CU368" i="6"/>
  <c r="CU395" i="6"/>
  <c r="CU403" i="6"/>
  <c r="CU434" i="6"/>
  <c r="CU467" i="6"/>
  <c r="CU499" i="6"/>
  <c r="CU507" i="6"/>
  <c r="CU383" i="6"/>
  <c r="CU460" i="6"/>
  <c r="CU464" i="6"/>
  <c r="CU532" i="6"/>
  <c r="CU536" i="6"/>
  <c r="CU544" i="6"/>
  <c r="CU548" i="6"/>
  <c r="CU422" i="6"/>
  <c r="CU244" i="6"/>
  <c r="CU423" i="6"/>
  <c r="CU435" i="6"/>
  <c r="CU241" i="6"/>
  <c r="CU272" i="6"/>
  <c r="CU291" i="6"/>
  <c r="CU330" i="6"/>
  <c r="CU404" i="6"/>
  <c r="CU412" i="6"/>
  <c r="CU420" i="6"/>
  <c r="CU480" i="6"/>
  <c r="CU357" i="6"/>
  <c r="CU6" i="6"/>
  <c r="CU10" i="6"/>
  <c r="CU280" i="6"/>
  <c r="CU298" i="6"/>
  <c r="CU2" i="6"/>
  <c r="CU226" i="6"/>
  <c r="CU234" i="6"/>
  <c r="CU265" i="6"/>
  <c r="CU335" i="6"/>
  <c r="CU366" i="6"/>
  <c r="CU389" i="6"/>
  <c r="CU445" i="6"/>
  <c r="CU485" i="6"/>
  <c r="CU501" i="6"/>
  <c r="CU505" i="6"/>
  <c r="CU545" i="6"/>
  <c r="CU557" i="6"/>
  <c r="CU123" i="6"/>
  <c r="CU48" i="6"/>
  <c r="CU60" i="6"/>
  <c r="CU72" i="6"/>
  <c r="CU175" i="6"/>
  <c r="CU191" i="6"/>
  <c r="CU211" i="6"/>
  <c r="CU37" i="6"/>
  <c r="CU49" i="6"/>
  <c r="CU65" i="6"/>
  <c r="CU103" i="6"/>
  <c r="CU120" i="6"/>
  <c r="CU172" i="6"/>
  <c r="CU180" i="6"/>
  <c r="CU192" i="6"/>
  <c r="CU196" i="6"/>
  <c r="CU216" i="6"/>
  <c r="CU113" i="6"/>
  <c r="CU42" i="6"/>
  <c r="CU46" i="6"/>
  <c r="CU54" i="6"/>
  <c r="CU66" i="6"/>
  <c r="CU70" i="6"/>
  <c r="CU164" i="6"/>
  <c r="CU213" i="6"/>
  <c r="CU122" i="6"/>
  <c r="CU39" i="6"/>
  <c r="CU51" i="6"/>
  <c r="CU105" i="6"/>
  <c r="CU161" i="6"/>
  <c r="CU174" i="6"/>
  <c r="CU186" i="6"/>
  <c r="CU198" i="6"/>
  <c r="CU210" i="6"/>
  <c r="CU214" i="6"/>
  <c r="CU233" i="6"/>
  <c r="CU251" i="6"/>
  <c r="CU269" i="6"/>
  <c r="CU305" i="6"/>
  <c r="CU316" i="6"/>
  <c r="CU327" i="6"/>
  <c r="CU331" i="6"/>
  <c r="CU342" i="6"/>
  <c r="CU346" i="6"/>
  <c r="CU446" i="6"/>
  <c r="CU365" i="6"/>
  <c r="CU431" i="6"/>
  <c r="CU450" i="6"/>
  <c r="CU477" i="6"/>
  <c r="CU504" i="6"/>
  <c r="CU469" i="6"/>
  <c r="CU4" i="6"/>
  <c r="CU12" i="6"/>
  <c r="CU16" i="6"/>
  <c r="CU227" i="6"/>
  <c r="CU245" i="6"/>
  <c r="CU263" i="6"/>
  <c r="CU299" i="6"/>
  <c r="CU317" i="6"/>
  <c r="CU373" i="6"/>
  <c r="CU380" i="6"/>
  <c r="CU402" i="6"/>
  <c r="CU424" i="6"/>
  <c r="CU439" i="6"/>
  <c r="CU481" i="6"/>
  <c r="CU489" i="6"/>
  <c r="CU416" i="6"/>
  <c r="CU438" i="6"/>
  <c r="CU465" i="6"/>
  <c r="CU492" i="6"/>
  <c r="CU231" i="6"/>
  <c r="CU249" i="6"/>
  <c r="CU267" i="6"/>
  <c r="CU303" i="6"/>
  <c r="CU336" i="6"/>
  <c r="CU351" i="6"/>
  <c r="CU355" i="6"/>
  <c r="CU11" i="6"/>
  <c r="CU372" i="6"/>
  <c r="CU344" i="6"/>
  <c r="CU377" i="6"/>
  <c r="CU381" i="6"/>
  <c r="CU399" i="6"/>
  <c r="CU459" i="6"/>
  <c r="CU486" i="6"/>
  <c r="CU549" i="6"/>
  <c r="CU5" i="6"/>
  <c r="CU17" i="6"/>
  <c r="CU239" i="6"/>
  <c r="CU257" i="6"/>
  <c r="CU275" i="6"/>
  <c r="CU293" i="6"/>
  <c r="CU311" i="6"/>
  <c r="CU337" i="6"/>
  <c r="CU352" i="6"/>
  <c r="CU367" i="6"/>
  <c r="CU414" i="6"/>
  <c r="CU425" i="6"/>
  <c r="CU441" i="6"/>
  <c r="CU463" i="6"/>
  <c r="CU471" i="6"/>
  <c r="CU225" i="6"/>
  <c r="CU243" i="6"/>
  <c r="CU261" i="6"/>
  <c r="CU297" i="6"/>
  <c r="CU315" i="6"/>
  <c r="CU319" i="6"/>
  <c r="CU341" i="6"/>
  <c r="CU345" i="6"/>
  <c r="CU382" i="6"/>
  <c r="CU400" i="6"/>
  <c r="CU518" i="6"/>
  <c r="CU522" i="6"/>
  <c r="CU14" i="6"/>
  <c r="CU240" i="6"/>
  <c r="CU258" i="6"/>
  <c r="CU276" i="6"/>
  <c r="CU294" i="6"/>
  <c r="CU312" i="6"/>
  <c r="CU338" i="6"/>
  <c r="CU364" i="6"/>
  <c r="CU393" i="6"/>
  <c r="CU426" i="6"/>
  <c r="CU437" i="6"/>
  <c r="CU449" i="6"/>
  <c r="CU468" i="6"/>
  <c r="CU476" i="6"/>
  <c r="CU495" i="6"/>
  <c r="CU503" i="6"/>
  <c r="CU553" i="6"/>
  <c r="CU511" i="6"/>
  <c r="CU534" i="6"/>
  <c r="CU538" i="6"/>
  <c r="CU527" i="6"/>
  <c r="CU554" i="6"/>
  <c r="CU512" i="6"/>
  <c r="CU531" i="6"/>
  <c r="CU539" i="6"/>
  <c r="CU551" i="6"/>
  <c r="CU513" i="6"/>
  <c r="CU521" i="6"/>
  <c r="CU540" i="6"/>
  <c r="CU533" i="6"/>
  <c r="CU136" i="6"/>
  <c r="CU204" i="6"/>
  <c r="CU36" i="6"/>
  <c r="CU102" i="6"/>
  <c r="CU128" i="6"/>
  <c r="CU143" i="6"/>
  <c r="CU147" i="6"/>
  <c r="CU158" i="6"/>
  <c r="CU32" i="6"/>
  <c r="CU47" i="6"/>
  <c r="CU162" i="6"/>
  <c r="CU166" i="6"/>
  <c r="CU98" i="6"/>
  <c r="CU173" i="6"/>
  <c r="CU215" i="6"/>
  <c r="CU140" i="6"/>
  <c r="CU148" i="6"/>
  <c r="CU63" i="6"/>
  <c r="CU67" i="6"/>
  <c r="CU167" i="6"/>
  <c r="CU95" i="6"/>
  <c r="CU189" i="6"/>
  <c r="CU193" i="6"/>
  <c r="CU126" i="6"/>
  <c r="CU130" i="6"/>
  <c r="CU137" i="6"/>
  <c r="CU141" i="6"/>
  <c r="CU152" i="6"/>
  <c r="CU160" i="6"/>
  <c r="CU75" i="6"/>
  <c r="CU79" i="6"/>
  <c r="CU107" i="6"/>
  <c r="CU201" i="6"/>
  <c r="CU209" i="6"/>
  <c r="CU149" i="6"/>
  <c r="CU30" i="6"/>
  <c r="CU53" i="6"/>
  <c r="CU81" i="6"/>
  <c r="CU96" i="6"/>
  <c r="CU179" i="6"/>
  <c r="CU116" i="6"/>
  <c r="CU127" i="6"/>
  <c r="CU134" i="6"/>
  <c r="CU142" i="6"/>
  <c r="CU61" i="6"/>
  <c r="CU187" i="6"/>
  <c r="CU135" i="6"/>
  <c r="CU146" i="6"/>
  <c r="CU154" i="6"/>
  <c r="CU69" i="6"/>
  <c r="CU73" i="6"/>
  <c r="CU165" i="6"/>
  <c r="CU101" i="6"/>
  <c r="CU195" i="6"/>
  <c r="CU199" i="6"/>
  <c r="CU203" i="6"/>
  <c r="CU222" i="6"/>
  <c r="CU325" i="6"/>
  <c r="CU361" i="6"/>
  <c r="CU397" i="6"/>
  <c r="CU433" i="6"/>
  <c r="CU461" i="6"/>
  <c r="CU479" i="6"/>
  <c r="CU497" i="6"/>
  <c r="CU515" i="6"/>
  <c r="CU322" i="6"/>
  <c r="CU358" i="6"/>
  <c r="CU394" i="6"/>
  <c r="CU430" i="6"/>
  <c r="CU349" i="6"/>
  <c r="CU385" i="6"/>
  <c r="CU421" i="6"/>
  <c r="CU455" i="6"/>
  <c r="CU473" i="6"/>
  <c r="CU491" i="6"/>
  <c r="CU509" i="6"/>
  <c r="CU343" i="6"/>
  <c r="CU379" i="6"/>
  <c r="CU415" i="6"/>
  <c r="CU452" i="6"/>
  <c r="CU470" i="6"/>
  <c r="CU488" i="6"/>
  <c r="CU506" i="6"/>
  <c r="CU524" i="6"/>
  <c r="CU334" i="6"/>
  <c r="CU370" i="6"/>
  <c r="CU406" i="6"/>
  <c r="CU443" i="6"/>
  <c r="CU117" i="6"/>
  <c r="CU124" i="6"/>
  <c r="CU121" i="6"/>
  <c r="CU145" i="6"/>
  <c r="CU29" i="6"/>
  <c r="CU118" i="6"/>
  <c r="CU112" i="6"/>
  <c r="CU109" i="6"/>
  <c r="CU139" i="6"/>
  <c r="CU157" i="6"/>
  <c r="CU41" i="6"/>
  <c r="CU133" i="6"/>
  <c r="CU151" i="6"/>
  <c r="CU35" i="6"/>
  <c r="AE119" i="6"/>
  <c r="CV119" i="6" s="1"/>
  <c r="AE118" i="6"/>
  <c r="CV118" i="6" s="1"/>
  <c r="AE117" i="6"/>
  <c r="CV117" i="6" s="1"/>
  <c r="AY211" i="6" l="1"/>
  <c r="AY172" i="6"/>
  <c r="AY171" i="6"/>
  <c r="BA168" i="6"/>
  <c r="CT168" i="6" s="1"/>
  <c r="CU168" i="6" s="1"/>
  <c r="BM169" i="6"/>
  <c r="BG169" i="6"/>
  <c r="BA169" i="6"/>
  <c r="CT169" i="6" l="1"/>
  <c r="CU169" i="6" s="1"/>
  <c r="BA28" i="6"/>
  <c r="CT28" i="6" s="1"/>
  <c r="CU28" i="6" s="1"/>
  <c r="BA80" i="6"/>
  <c r="CT80" i="6" s="1"/>
  <c r="CU80" i="6" s="1"/>
  <c r="BA78" i="6" l="1"/>
  <c r="CT78" i="6" s="1"/>
  <c r="CU78" i="6" s="1"/>
  <c r="AT163" i="6"/>
  <c r="CV163" i="6" l="1"/>
  <c r="CS163" i="6"/>
  <c r="CU163" i="6" s="1"/>
  <c r="AE3" i="6"/>
  <c r="CV3" i="6" s="1"/>
  <c r="BA277" i="6"/>
  <c r="CT277" i="6" s="1"/>
  <c r="CU277" i="6" s="1"/>
  <c r="BA287" i="6"/>
  <c r="CT287" i="6" s="1"/>
  <c r="CU287" i="6" s="1"/>
  <c r="BA286" i="6"/>
  <c r="CT286" i="6" s="1"/>
  <c r="CU286" i="6" s="1"/>
  <c r="BG301" i="6"/>
  <c r="BA301" i="6"/>
  <c r="AE441" i="6"/>
  <c r="CV441" i="6" s="1"/>
  <c r="BG496" i="6"/>
  <c r="BA496" i="6"/>
  <c r="CT301" i="6" l="1"/>
  <c r="CU301" i="6" s="1"/>
  <c r="CT496" i="6"/>
  <c r="CU496" i="6" s="1"/>
  <c r="BA339" i="6" l="1"/>
  <c r="CT339" i="6" s="1"/>
  <c r="CU339" i="6" s="1"/>
  <c r="BA313" i="6" l="1"/>
  <c r="CT313" i="6" s="1"/>
  <c r="CU313" i="6" s="1"/>
  <c r="BA285" i="6"/>
  <c r="CT285" i="6" s="1"/>
  <c r="CU285" i="6" s="1"/>
  <c r="BA284" i="6"/>
  <c r="CT284" i="6" s="1"/>
  <c r="CU284" i="6" s="1"/>
  <c r="BA283" i="6"/>
  <c r="CT283" i="6" s="1"/>
  <c r="CU283" i="6" s="1"/>
  <c r="BA282" i="6"/>
  <c r="CT282" i="6" s="1"/>
  <c r="CU282" i="6" s="1"/>
  <c r="BA281" i="6"/>
  <c r="CT281" i="6" s="1"/>
  <c r="CU281" i="6" s="1"/>
  <c r="BA279" i="6"/>
  <c r="CT279" i="6" s="1"/>
  <c r="CU279" i="6" s="1"/>
  <c r="BA278" i="6"/>
  <c r="CT278" i="6" s="1"/>
  <c r="CU27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Ximena Champi</author>
  </authors>
  <commentList>
    <comment ref="CV163" authorId="0" shapeId="0" xr:uid="{1AED6EAB-33BF-4626-B192-7AFD9C01955C}">
      <text>
        <r>
          <rPr>
            <b/>
            <sz val="9"/>
            <color indexed="81"/>
            <rFont val="Tahoma"/>
            <family val="2"/>
          </rPr>
          <t>TRASPASO</t>
        </r>
      </text>
    </comment>
    <comment ref="BG228" authorId="0" shapeId="0" xr:uid="{0CEA663E-2A72-4CC1-B27C-A56C506D18E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ESTACIONAMIENTO</t>
        </r>
      </text>
    </comment>
    <comment ref="BG229" authorId="0" shapeId="0" xr:uid="{86AA5F63-6F9F-48B5-BC8D-2AFAA6A5E331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ESTACIONAMIENTO</t>
        </r>
      </text>
    </comment>
    <comment ref="Y277" authorId="0" shapeId="0" xr:uid="{3A55C38F-E41B-49C2-8F50-8253BD09B9F1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 ADENDA 19.09.23</t>
        </r>
      </text>
    </comment>
    <comment ref="AA277" authorId="0" shapeId="0" xr:uid="{FED219AE-535C-46D9-A633-7806047CE2C7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ADENDA</t>
        </r>
      </text>
    </comment>
    <comment ref="AX278" authorId="0" shapeId="0" xr:uid="{5219F373-10BC-43BC-8469-68A996E48E8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AP 027882</t>
        </r>
      </text>
    </comment>
    <comment ref="AD338" authorId="0" shapeId="0" xr:uid="{49ED9D9F-98AA-43D6-AEB9-C8EB2A5C964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DEL CONTRATO DEFINITIOVO</t>
        </r>
      </text>
    </comment>
    <comment ref="AD364" authorId="0" shapeId="0" xr:uid="{11B9086A-54AD-4AEB-A63D-F8DEB7D70DFC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FIRMA DEL CONTRATO DEFINITIOVO</t>
        </r>
      </text>
    </comment>
    <comment ref="AX440" authorId="0" shapeId="0" xr:uid="{12A68364-871C-44FD-A1B3-FA2EA940EC8A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A113953</t>
        </r>
      </text>
    </comment>
    <comment ref="AA441" authorId="0" shapeId="0" xr:uid="{9ECDD24A-E689-4EF4-8342-4127F206DE78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Confirmar adenda - cronogramab no se detlla en contrato</t>
        </r>
      </text>
    </comment>
    <comment ref="AX493" authorId="0" shapeId="0" xr:uid="{C606371F-6892-404F-8AEA-DAA13C6269D6}">
      <text>
        <r>
          <rPr>
            <b/>
            <sz val="9"/>
            <color indexed="81"/>
            <rFont val="Tahoma"/>
            <family val="2"/>
          </rPr>
          <t>Ximena Champi:</t>
        </r>
        <r>
          <rPr>
            <sz val="9"/>
            <color indexed="81"/>
            <rFont val="Tahoma"/>
            <family val="2"/>
          </rPr>
          <t xml:space="preserve">
001736</t>
        </r>
      </text>
    </comment>
  </commentList>
</comments>
</file>

<file path=xl/sharedStrings.xml><?xml version="1.0" encoding="utf-8"?>
<sst xmlns="http://schemas.openxmlformats.org/spreadsheetml/2006/main" count="8424" uniqueCount="880">
  <si>
    <t>DNI</t>
  </si>
  <si>
    <t>Etapa</t>
  </si>
  <si>
    <t>Lote</t>
  </si>
  <si>
    <t>Vendido</t>
  </si>
  <si>
    <t>001171717</t>
  </si>
  <si>
    <t>45086870</t>
  </si>
  <si>
    <t>41687912</t>
  </si>
  <si>
    <t>10228642</t>
  </si>
  <si>
    <t>07837880</t>
  </si>
  <si>
    <t>09499094</t>
  </si>
  <si>
    <t>40813815</t>
  </si>
  <si>
    <t>01332447</t>
  </si>
  <si>
    <t>06034873</t>
  </si>
  <si>
    <t>09200006</t>
  </si>
  <si>
    <t>20610345779</t>
  </si>
  <si>
    <t>RUC</t>
  </si>
  <si>
    <t>CE</t>
  </si>
  <si>
    <t>B</t>
  </si>
  <si>
    <t>D</t>
  </si>
  <si>
    <t>E</t>
  </si>
  <si>
    <t>F</t>
  </si>
  <si>
    <t>G</t>
  </si>
  <si>
    <t>H</t>
  </si>
  <si>
    <t>L</t>
  </si>
  <si>
    <t>M</t>
  </si>
  <si>
    <t>Q</t>
  </si>
  <si>
    <t>R</t>
  </si>
  <si>
    <t>S</t>
  </si>
  <si>
    <t>T</t>
  </si>
  <si>
    <t>#</t>
  </si>
  <si>
    <t>Proyecto</t>
  </si>
  <si>
    <t>Bloque</t>
  </si>
  <si>
    <t>Área</t>
  </si>
  <si>
    <t>Precio del Lote</t>
  </si>
  <si>
    <t>Precio de Urbanización</t>
  </si>
  <si>
    <t>Estado</t>
  </si>
  <si>
    <t>Proyecto Apolo</t>
  </si>
  <si>
    <t>I ETAPA</t>
  </si>
  <si>
    <t>NOMBRE</t>
  </si>
  <si>
    <t>NATALIA ANDREA CHAVARRIA VELASQUEZ</t>
  </si>
  <si>
    <t>TIPO DE DOCUMENTO</t>
  </si>
  <si>
    <t>DOCUMENTO</t>
  </si>
  <si>
    <t>AP-001</t>
  </si>
  <si>
    <t>FECHA DE CONTRATO</t>
  </si>
  <si>
    <t>FECHA</t>
  </si>
  <si>
    <t>FECHA HOJA DE RADICACION</t>
  </si>
  <si>
    <t>0</t>
  </si>
  <si>
    <t>PRECIO</t>
  </si>
  <si>
    <t>CUOTA</t>
  </si>
  <si>
    <t>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</si>
  <si>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</si>
  <si>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</si>
  <si>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</si>
  <si>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</si>
  <si>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</si>
  <si>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</si>
  <si>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</si>
  <si>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</si>
  <si>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</si>
  <si>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</si>
  <si>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</si>
  <si>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</si>
  <si>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</si>
  <si>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</si>
  <si>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</si>
  <si>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</si>
  <si>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</si>
  <si>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</si>
  <si>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</si>
  <si>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</si>
  <si>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NUMERO</t>
  </si>
  <si>
    <t>FECHA DE ABONO</t>
  </si>
  <si>
    <t>BV</t>
  </si>
  <si>
    <t>BT01-15242</t>
  </si>
  <si>
    <t>NUMERO DE OPERACIÓN</t>
  </si>
  <si>
    <t>BT01-15804</t>
  </si>
  <si>
    <t>ESTADO</t>
  </si>
  <si>
    <t>NUMERO DE CUOTAS</t>
  </si>
  <si>
    <t>AP-007</t>
  </si>
  <si>
    <t>GUILLERMO FERNANDO  SERRA SUITO</t>
  </si>
  <si>
    <t>07807304</t>
  </si>
  <si>
    <t>MIRIAM BEATRIZ SANTA MARIA</t>
  </si>
  <si>
    <t>EB01-7577</t>
  </si>
  <si>
    <t>EB01-7765</t>
  </si>
  <si>
    <t>EB01-9582</t>
  </si>
  <si>
    <t>BT01-198</t>
  </si>
  <si>
    <t>BT01-1774</t>
  </si>
  <si>
    <t>BT01-3021</t>
  </si>
  <si>
    <t>BT01-4365</t>
  </si>
  <si>
    <t>BT01-7000</t>
  </si>
  <si>
    <t>BT01-7945</t>
  </si>
  <si>
    <t>BT01-7960</t>
  </si>
  <si>
    <t>BT01-9245</t>
  </si>
  <si>
    <t>BT01-10551</t>
  </si>
  <si>
    <t>BT01-11628</t>
  </si>
  <si>
    <t>BT01-13193</t>
  </si>
  <si>
    <t>TERRENO</t>
  </si>
  <si>
    <t>EB01-7764</t>
  </si>
  <si>
    <t>EB01-9304</t>
  </si>
  <si>
    <t>BT01-197</t>
  </si>
  <si>
    <t>BT01-1778</t>
  </si>
  <si>
    <t>BT01-3020</t>
  </si>
  <si>
    <t>BT01-4362</t>
  </si>
  <si>
    <t>BT01-5622</t>
  </si>
  <si>
    <t>BT01-7002</t>
  </si>
  <si>
    <t>BT01-7962</t>
  </si>
  <si>
    <t>BT01-9157</t>
  </si>
  <si>
    <t>BT01-13190</t>
  </si>
  <si>
    <t>COCHERA ( 78 )</t>
  </si>
  <si>
    <t>COCHERA ( 79 )</t>
  </si>
  <si>
    <t>AP-008</t>
  </si>
  <si>
    <t>EB01-7578</t>
  </si>
  <si>
    <t>EB01-7762</t>
  </si>
  <si>
    <t>EB01-9326</t>
  </si>
  <si>
    <t>BT01-199</t>
  </si>
  <si>
    <t>BT01-1775</t>
  </si>
  <si>
    <t>BT01-3019</t>
  </si>
  <si>
    <t>BT01-4364</t>
  </si>
  <si>
    <t>BT01-5618</t>
  </si>
  <si>
    <t>BT01-6998</t>
  </si>
  <si>
    <t>BT01-7961</t>
  </si>
  <si>
    <t>BT01-9083</t>
  </si>
  <si>
    <t>BT01-10550</t>
  </si>
  <si>
    <t>BT01-11626</t>
  </si>
  <si>
    <t>BT01-13192</t>
  </si>
  <si>
    <t>BT01-4363</t>
  </si>
  <si>
    <t>EB01-9303</t>
  </si>
  <si>
    <t>BT01-7003</t>
  </si>
  <si>
    <t>BT01-7965</t>
  </si>
  <si>
    <t>BT01-9086</t>
  </si>
  <si>
    <t>BT01-1779</t>
  </si>
  <si>
    <t>BT01-196</t>
  </si>
  <si>
    <t>BT01-5620</t>
  </si>
  <si>
    <t>EB01-7763</t>
  </si>
  <si>
    <t>BT01-4614</t>
  </si>
  <si>
    <t>BT01-13195</t>
  </si>
  <si>
    <t>AREA</t>
  </si>
  <si>
    <t>AP-009</t>
  </si>
  <si>
    <t xml:space="preserve"> LUIS ENRIQUE TELLO LEON</t>
  </si>
  <si>
    <t>07463682</t>
  </si>
  <si>
    <t>DELIA AVEGAIL VILCA MORALES</t>
  </si>
  <si>
    <t>FECHA DE VENCIMIENTO</t>
  </si>
  <si>
    <t>IMPORTE DE CUOTA</t>
  </si>
  <si>
    <t>BT01-7530</t>
  </si>
  <si>
    <t>ABONADO $</t>
  </si>
  <si>
    <t>ABONADO S/</t>
  </si>
  <si>
    <t>TIPO DE CAMBIO</t>
  </si>
  <si>
    <t>BT01-7756</t>
  </si>
  <si>
    <t>BT01-11390</t>
  </si>
  <si>
    <t>BT01-12627</t>
  </si>
  <si>
    <t>BT01-15809</t>
  </si>
  <si>
    <t>BT01-16061</t>
  </si>
  <si>
    <t>BT01-17984</t>
  </si>
  <si>
    <t>BT01-12063</t>
  </si>
  <si>
    <t>BT01-931</t>
  </si>
  <si>
    <t>AP-010</t>
  </si>
  <si>
    <t>MARIA ANGELA  LUNA TORRES</t>
  </si>
  <si>
    <t>EB01-5980</t>
  </si>
  <si>
    <t>EB01-7114</t>
  </si>
  <si>
    <t>EB01-8452</t>
  </si>
  <si>
    <t>EB01-9117</t>
  </si>
  <si>
    <t>BT01-479</t>
  </si>
  <si>
    <t>BT01-2042</t>
  </si>
  <si>
    <t>BT01-6433</t>
  </si>
  <si>
    <t>BT01-7851</t>
  </si>
  <si>
    <t>BT01-8816</t>
  </si>
  <si>
    <t>BT01-18176</t>
  </si>
  <si>
    <t>COCHERA ( 212 )</t>
  </si>
  <si>
    <t>AP-011</t>
  </si>
  <si>
    <t>LAURA MENSIA  LUNA TORRES</t>
  </si>
  <si>
    <t>COCHERA ( 198 )</t>
  </si>
  <si>
    <t>EB01-5979</t>
  </si>
  <si>
    <t>EB01-7113</t>
  </si>
  <si>
    <t>EB01-8453</t>
  </si>
  <si>
    <t>EB01-9119</t>
  </si>
  <si>
    <t>BT01-478</t>
  </si>
  <si>
    <t>BT01-2041</t>
  </si>
  <si>
    <t>BT01-8817</t>
  </si>
  <si>
    <t>BT01-18175</t>
  </si>
  <si>
    <t>BT01-18174</t>
  </si>
  <si>
    <t>BT01-378</t>
  </si>
  <si>
    <t>AP-012</t>
  </si>
  <si>
    <t>MARIA MAGDALENA  MONTERO RODRIGUEZ</t>
  </si>
  <si>
    <t>COCHERA ( 39 )</t>
  </si>
  <si>
    <t>AP-013</t>
  </si>
  <si>
    <t>ALBERTO  LOAYZA YGREDA</t>
  </si>
  <si>
    <t>09321218</t>
  </si>
  <si>
    <t>NICOLASA ISABEL MALCA DIAZ</t>
  </si>
  <si>
    <t>MZ</t>
  </si>
  <si>
    <t>LOTE</t>
  </si>
  <si>
    <t>40932070</t>
  </si>
  <si>
    <t>EFECTIVO</t>
  </si>
  <si>
    <t>AP-014</t>
  </si>
  <si>
    <t xml:space="preserve">CORPORACION AVANZA &amp; ASOCIADOS SAC </t>
  </si>
  <si>
    <t>POS</t>
  </si>
  <si>
    <t>FT</t>
  </si>
  <si>
    <t>CUADRADO</t>
  </si>
  <si>
    <t>DETALLE</t>
  </si>
  <si>
    <t>OBS.</t>
  </si>
  <si>
    <t>MONEDA</t>
  </si>
  <si>
    <t>SOLES</t>
  </si>
  <si>
    <t>DOLAR</t>
  </si>
  <si>
    <t>MORA</t>
  </si>
  <si>
    <t>NC</t>
  </si>
  <si>
    <t>confirmar</t>
  </si>
  <si>
    <t xml:space="preserve">03BT01-24630 PAGO CUOTA 2 ENERO 2024 TRANSFERENCIA CREDICONTADO POR CONTRATO DE PROMESA DE LA MZ D LOTE 4 - EL APOLO </t>
  </si>
  <si>
    <t>03BT01-25906 PAGO CUOTA 3 FEBRERO 2024 TRANSFERENCIA CREDICONTADO POR CONTRATO DE PROMESA DE LA MZ D LOTE 4 - EL APOLO</t>
  </si>
  <si>
    <t>03BT01-27790PAGO CUOTA 4 MARZO 2024 TRANSFERENCIA CREDICONTADO POR CONTRATO DE PROMESA DE LA MZ D LOTE 4 - EL APOLO</t>
  </si>
  <si>
    <t>03BT01-29492PAGO CUOTA 5 ABRIL 2024 TRANSFERENCIA CREDICONTADO POR CONTRATO DE PROMESA DE LA MZ D LOTE 4 - EL APOLO</t>
  </si>
  <si>
    <t>03BT01-31116PAGO CUOTA 6 MAYO 2024 TRANSFERENCIA CREDICONTADO POR CONTRATO DE PROMESA DE LA MZ D LOTE 4 - EL APOLO</t>
  </si>
  <si>
    <t>03BT01-32831PAGO CUOTA 7 JUNIO 2024 TRANSFERENCIA CREDICONTADO POR CONTRATO DE PROMESA DE LA MZ D LOTE 4 - EL APOLO</t>
  </si>
  <si>
    <t>03BT01-34357PAGO CUOTA 8 JULIO 2024 TRANSFERENCIA CREDICONTADO POR CONTRATO DE PROMESA DE LA MZ D LOTE 4 - EL APOLO</t>
  </si>
  <si>
    <t>03BT01-35892PAGO CUOTA 9 AGOSTO 2024 TRANSFERENCIA CREDICONTADO POR CONTRATO DE PROMESA DE LA MZ D LOTE 4 - EL APOLO</t>
  </si>
  <si>
    <t>03BT01-37613 PAGO CUOTA 10 SEPTIEMBRE 2024 TRANSFERENCIA CREDICONTADO POR CONTRATO DE PROMESA DE LA MZ D LOTE 4 - EL APOLO</t>
  </si>
  <si>
    <t>03BT01-39202 PAGO CUOTA 11 OCTUBRE 2024 TRANSFERENCIA CREDICONTADO POR CONTRATO DE PROMESA DE LA MZ D LOTE 4 - EL APOLO</t>
  </si>
  <si>
    <t>03BT01-41139 PAGO CUOTA 12 NOVIEMBRE 2024 TRANSFERENCIA CREDICONTADO POR CONTRATO DE PROMESA DE LA MZ D LOTE 4 - EL APOLO</t>
  </si>
  <si>
    <t xml:space="preserve">03BT01-42861 PAGO CUOTA 13 DICIEMBRE 2024 TRANSFERENCIA CREDICONTADO POR CONTRATO DE PROMESA DE LA MZ D LOTE 4 - EL APOLO </t>
  </si>
  <si>
    <t>03BT01-44486 PAGO CUOTA 14 ENERO 2025 TRANSFERENCIA CREDICONTADO POR CONTRATO DE PROMESA DE LA MZ D LOTE 4 - EL APOLO</t>
  </si>
  <si>
    <t>03BT01-46620 PAGO CUOTA 15 FEBRERO 2025 TRANSFERENCIA CREDICONTADO POR CONTRATO DE PROMESA DE LA MZ D LOTE 4 - EL APOLO</t>
  </si>
  <si>
    <t>03BT01-48096 PAGO CUOTA 16 MARZO 2025 TRANSFERENCIA CREDICONTADO POR CONTRATO DE PROMESA DE LA MZ D LOTE 4 - EL APOLO</t>
  </si>
  <si>
    <t xml:space="preserve">03BT01-49692 PAGO CUOTA 17 ABRIL 2025 TRANSFERENCIA CREDICONTADO POR CONTRATO DE PROMESA DE LA MZ D LOTE 4 - EL APOLO </t>
  </si>
  <si>
    <t>03BT01-51176 PAGO CUOTA 18 MAYO 2025 TRANSFERENCIA CREDICONTADO POR CONTRATO DE PROMESA DE LA MZ D LOTE 4 - EL APOLO</t>
  </si>
  <si>
    <t>03BT01-52672 PAGO CUOTA 19 JUNIO 2025 TRANSFERENCIA CREDICONTADO POR CONTRATO DE PROMESA DE LA MZ D LOTE 4 - EL APOLO</t>
  </si>
  <si>
    <t xml:space="preserve">03BT01-54118 PAGO CUOTA 20 JULIO 2025 TRANSFERENCIA CREDICONTADO POR CONTRATO DE PROMESA DE LA MZ D LOTE 4 - EL APOLO </t>
  </si>
  <si>
    <t xml:space="preserve">03BT01-55653 PAGO CUOTA 21 AGOSTO 2025 TRANSFERENCIA CREDICONTADO POR CONTRATO DE PROMESA DE LA MZ D LOTE 4 - EL APOLO </t>
  </si>
  <si>
    <t>03BT01-57039 PAGO CUOTA 22 SEPTIEMBRE 2025 TRANSFERENCIA CREDICONTADO POR CONTRATO DE PROMESA DE LA MZ D LOTE 4 - EL APOLO</t>
  </si>
  <si>
    <t>03BT01-57137 SEPARACION POR COMPRAVENTA DEL ESTACIONAMIENTO N°166 DE APOLO</t>
  </si>
  <si>
    <t>Confirmar</t>
  </si>
  <si>
    <t>IMPORTE $</t>
  </si>
  <si>
    <t>IMPORTE S/</t>
  </si>
  <si>
    <t>Pendiente</t>
  </si>
  <si>
    <t>1-4</t>
  </si>
  <si>
    <t>FT01-501</t>
  </si>
  <si>
    <t>FT01-534</t>
  </si>
  <si>
    <t>FT01-599</t>
  </si>
  <si>
    <t xml:space="preserve">01FT01-501 01FT01-501SEPARACION POR CONTRATO DE COMPRAVENTA DE LA MZ F LT 4 - APOLO </t>
  </si>
  <si>
    <t xml:space="preserve">01FT01-534 01FT01-534SEPARACION POR CONTRATO DE COMPRAVENTA DE LA MZ F LT 4 - APOLO </t>
  </si>
  <si>
    <t xml:space="preserve">01FT01-599SEPARACION POR CONTRATO DE COMPRAVENTA DE LA MZ F LT 4 - APOLO </t>
  </si>
  <si>
    <t>CORPORACION AVANZA &amp; ASOCIADOS S.A.C.</t>
  </si>
  <si>
    <t>FT01-637</t>
  </si>
  <si>
    <t>FT01-734</t>
  </si>
  <si>
    <t>FT01-746</t>
  </si>
  <si>
    <t>FT01-823</t>
  </si>
  <si>
    <t>FT01-892</t>
  </si>
  <si>
    <t>FT01-911</t>
  </si>
  <si>
    <t>FT01-974</t>
  </si>
  <si>
    <t>FT01-1035</t>
  </si>
  <si>
    <t>FT01-1088</t>
  </si>
  <si>
    <t>FT01-1117</t>
  </si>
  <si>
    <t xml:space="preserve">01FT01-637SEPARACION POR CONTRATO DE COMPRAVENTA DE LA MZ F LOTE 4 - APOLO </t>
  </si>
  <si>
    <t>01FT01-734 SEPARACION POR CONTRATO DE COMPRAVENTA DE LA MZ F LOTE 4 - APOLO</t>
  </si>
  <si>
    <t>01FT01-746SEPARACION POR CONTRATO DE COMPRAVENTA DE LA MZ F LOTE 4 - APOLO</t>
  </si>
  <si>
    <t>01FT01-823SEPARACION POR CONTRATO DE COMPRAVENTA DE LA MZ F LOTE 4 - APOLO</t>
  </si>
  <si>
    <t>01FT01-892SEPARACION POR CONTRATO DE COMPRAVENTA DE LA MZ F LOTE 4 - APOLO</t>
  </si>
  <si>
    <t>01FT01-911SEPARACION POR CONTRATO DE COMPRAVENTA DE LA MZ F LOTE 4 - APOLO</t>
  </si>
  <si>
    <t>01FT01-974SEPARACION POR CONTRATO DE COMPRAVENTA DE LA MZ F LOTE 4 - APOLO</t>
  </si>
  <si>
    <t>01FT01-1035SEPARACION POR CONTRATO DE COMPRAVENTA DE LA MZ F LOTE 4 - APOLO</t>
  </si>
  <si>
    <t>01FT01-1088 SEPARACION POR CONTRATO DE COMPRAVENTA DE LA MZ F LOTE 4 - APOLO</t>
  </si>
  <si>
    <t>01FT01-1117 SEPARACION POR CONTRATO DE COMPRAVENTA OCTUBRE 2024 DE LA MZ F LOTE 4 - APOLO</t>
  </si>
  <si>
    <t>FT01-1281</t>
  </si>
  <si>
    <t>FT01-1282</t>
  </si>
  <si>
    <t>FT01-1350</t>
  </si>
  <si>
    <t>FT01-1452</t>
  </si>
  <si>
    <t>FT01-1489</t>
  </si>
  <si>
    <t>FT01-1522</t>
  </si>
  <si>
    <t>FT01-1525</t>
  </si>
  <si>
    <t>FT01-1526</t>
  </si>
  <si>
    <t>FT01-1565</t>
  </si>
  <si>
    <t>01FT01-1281 SEPARACION POR CONTRATO DE COMPRAVENTA NOVIEMBRE 2024 DE LA MZ F LOTE 4 - APOLO</t>
  </si>
  <si>
    <t>01FT01-1282 SEPARACION POR CONTRATO DE COMPRAVENTA DICIEMBRE 2024 DE LA MZ F LOTE 4 - APOLO</t>
  </si>
  <si>
    <t>01FT01-1350 SEPARACION POR CONTRATO DE COMPRAVENTA DE LA MZ F LOTE 4 - APOLO</t>
  </si>
  <si>
    <t xml:space="preserve">01FT01-1452 SEPARACION POR CONTRATO DE COMPRAVENTA DE LA MZ F LOTE 4 - APOLO </t>
  </si>
  <si>
    <t>01FT01-1489 SEPARACION POR CONTRATO DE COMPRAVENTA DE LA MZ F LOTE 4 - APOLO</t>
  </si>
  <si>
    <t>01FT01-1522 SEPARACION POR CONTRATO DE COMPRAVENTA DE LA MZ F LOTE 4 - APOLO</t>
  </si>
  <si>
    <t>01FT01-1525 SEPARACION POR CONTRATO DE COMPRAVENTA DE LA MZ F LOTE 4 - APOLO</t>
  </si>
  <si>
    <t>01FT01-1526 SEPARACION POR CONTRATO DE COMPRAVENTA DE LA MZ F LOTE 4 - APOLO</t>
  </si>
  <si>
    <t xml:space="preserve">01FT01-1565 SEPARACION POR CONTRATO DE COMPRAVENTA DE LA MZ F LOTE 4 - APOLO </t>
  </si>
  <si>
    <t>03EB01-5878 03EB01-5878CUOTA INICIAL MZ G LT 13-APOLO</t>
  </si>
  <si>
    <t>EB01-5878</t>
  </si>
  <si>
    <t>LOAYZA YGREDA ALBERTO</t>
  </si>
  <si>
    <t>BT01-13085</t>
  </si>
  <si>
    <t>BT01-13086</t>
  </si>
  <si>
    <t>BT01-15816</t>
  </si>
  <si>
    <t>BT01-17647</t>
  </si>
  <si>
    <t>BT01-19820</t>
  </si>
  <si>
    <t>BT01-20816</t>
  </si>
  <si>
    <t>BT01-22446</t>
  </si>
  <si>
    <t xml:space="preserve">03BT01-13085 03BT01-13085PAGO CUOTA 7 MAYO 2023  POR CONTRATO DE PROMESA DE LA MZ Q LOTE 6 - EL APOLO </t>
  </si>
  <si>
    <t xml:space="preserve">03BT01-13086 PAGO CUOTA 6 ABRIL 2023  POR CONTRATO DE PROMESA DE LA MZ Q LOTE 6 - EL APOLO </t>
  </si>
  <si>
    <t xml:space="preserve">03BT01-15816 PAGO CUOTA 8 JUNIO 2023  POR CONTRATO DE PROMESA DE LA MZ Q LOTE 6 - EL APOLO </t>
  </si>
  <si>
    <t xml:space="preserve">03BT01-17647 CUOTA 9 JULIO 2023 TRANSFERENCIA CREDICONTADO POR CONTRATO DE PROMESA DE LA MZ Q LOTE 6 - EL APOLO </t>
  </si>
  <si>
    <t xml:space="preserve">03BT01-19820 CUOTA 10  MZ Q LOTE 6 - EL APOLO </t>
  </si>
  <si>
    <t xml:space="preserve">03BT01-20816PAGO CUOTA 11 SEPTIEMBRE 2023 CONTRATO DE PROMESA DE LA MZ Q LOTE 6 - EL APOLO </t>
  </si>
  <si>
    <t xml:space="preserve">03BT01-22446PAGO CUOTA 12 OCTUBRE 2023 CONTRATO DE PROMESA DE LA MZ Q LOTE 6 - EL APOLO </t>
  </si>
  <si>
    <t>BT01-24370</t>
  </si>
  <si>
    <t>BT01-26014</t>
  </si>
  <si>
    <t>BT01-27371</t>
  </si>
  <si>
    <t>BT01-28918</t>
  </si>
  <si>
    <t>BT01-31038</t>
  </si>
  <si>
    <t>BT01-33019</t>
  </si>
  <si>
    <t>BT01-34639</t>
  </si>
  <si>
    <t>BT01-36518</t>
  </si>
  <si>
    <t>BT01-38469</t>
  </si>
  <si>
    <t>BT01-39739</t>
  </si>
  <si>
    <t>BT01-41679</t>
  </si>
  <si>
    <t>BT01-43507</t>
  </si>
  <si>
    <t xml:space="preserve">03BT01-24370 PAGO CUOTA 13 NOVIEMBRE  2023 TRANSFERENCIA CREDICONTADO POR CONTRATO DE PROMESA DE LA MZ Q LOTE 6 - EL APOLO </t>
  </si>
  <si>
    <t>03BT01-26014 PAGO CUOTA 14 DICIEMBRE 2023 TRANSFERENCIA CREDICONTADO POR CONTRATO DE PROMESA DE LA MZ Q LOTE 6 - EL APOLO</t>
  </si>
  <si>
    <t>03BT01-27371PAGO CUOTA 15 ENERO 2024 TRANSFERENCIA CREDICONTADO POR CONTRATO DE PROMESA DE LA MZ Q LOTE 6 - EL APOLO</t>
  </si>
  <si>
    <t>03BT01-28918PAGO CUOTA 16 FEBRERO 2024 TRANSFERENCIA CREDICONTADO POR CONTRATO DE PROMESA DE LA MZ Q LOTE 6 - EL APOLO</t>
  </si>
  <si>
    <t>03BT01-31038PAGO CUOTA 17 MARZO 2024 TRANSFERENCIA CREDICONTADO POR CONTRATO DE PROMESA DE LA MZ Q LOTE 6 - EL APOLO</t>
  </si>
  <si>
    <t>03BT01-33019PAGO CUOTA 18 ABRIL 2024 TRANSFERENCIA CREDICONTADO POR CONTRATO DE PROMESA DE LA MZ Q LOTE 6 - EL APOLO</t>
  </si>
  <si>
    <t>03BT01-34639PAGO CUOTA 19 MAYO 2024 TRANSFERENCIA CREDICONTADO POR CONTRATO DE PROMESA DE LA MZ Q LOTE 6 - EL APOLO</t>
  </si>
  <si>
    <t>03BT01-36518PAGO CUOTA 20 JUNIO 2024 TRANSFERENCIA CREDICONTADO POR CONTRATO DE PROMESA DE LA MZ Q LOTE 6 - EL APOLO</t>
  </si>
  <si>
    <t>03BT01-38469 PAGO CUOTA 21 JULIO 2024 TRANSFERENCIA CREDICONTADO POR CONTRATO DE PROMESA DE LA MZ Q LOTE 6 - EL APOLO</t>
  </si>
  <si>
    <t>03BT01-39739 PAGO CUOTA 22 AGOSTO 2024 TRANSFERENCIA CREDICONTADO POR CONTRATO DE PROMESA DE LA MZ Q LOTE 6 - EL APOLO</t>
  </si>
  <si>
    <t>03BT01-41679 PAGO CUOTA 23 SEPTIEMBRE 2024 TRANSFERENCIA CREDICONTADO POR CONTRATO DE PROMESA DE LA MZ Q LOTE 6 - EL APOLO</t>
  </si>
  <si>
    <t xml:space="preserve">03BT01-43507 PAGO CUOTA 24 OCTUBRE 2024 TRANSFERENCIA CREDICONTADO POR CONTRATO DE PROMESA DE LA MZ Q LOTE 6 - EL APOLO </t>
  </si>
  <si>
    <t>BT01-44937</t>
  </si>
  <si>
    <t>BT01-45992</t>
  </si>
  <si>
    <t>BT01-47894</t>
  </si>
  <si>
    <t>BT01-49091</t>
  </si>
  <si>
    <t>BT01-51298</t>
  </si>
  <si>
    <t>BT01-52986</t>
  </si>
  <si>
    <t>BT01-54866</t>
  </si>
  <si>
    <t>BT01-56503</t>
  </si>
  <si>
    <t>03BT01-44937 PAGO CUOTA 25 NOVIEMBRE 2024 TRANSFERENCIA CREDICONTADO POR CONTRATO DE PROMESA DE LA MZ Q LOTE 6 - EL APOLO</t>
  </si>
  <si>
    <t>03BT01-45992 PAGO CUOTA 26 DICIEMBRE 2024 TRANSFERENCIA CREDICONTADO POR CONTRATO DE PROMESA DE LA MZ Q LOTE 6 - EL APOLO</t>
  </si>
  <si>
    <t>03BT01-47894 PAGO CUOTA 27 ENERO 2025 TRANSFERENCIA CREDICONTADO POR CONTRATO DE PROMESA DE LA MZ Q LOTE 6 - EL APOLO</t>
  </si>
  <si>
    <t xml:space="preserve">03BT01-49091 PAGO CUOTA 28 FEBRERO 2025 TRANSFERENCIA CREDICONTADO POR CONTRATO DE PROMESA DE LA MZ Q LOTE 6 - EL APOLO </t>
  </si>
  <si>
    <t>03BT01-51298 PAGO CUOTA 29 MARZO 2025 TRANSFERENCIA CREDICONTADO POR CONTRATO DE PROMESA DE LA MZ Q LOTE 6 - EL APOLO</t>
  </si>
  <si>
    <t xml:space="preserve">03BT01-52986 PAGO CUOTA 30 ABRIL 2025 TRANSFERENCIA CREDICONTADO POR CONTRATO DE PROMESA DE LA MZ Q LOTE 6 - EL APOLO </t>
  </si>
  <si>
    <t xml:space="preserve">03BT01-54866 PAGO CUOTA 31 MAYO 2025 TRANSFERENCIA CREDICONTADO POR CONTRATO DE PROMESA DE LA MZ Q LOTE 6 - EL APOLO </t>
  </si>
  <si>
    <t>03BT01-56503 PAGO CUOTA 32 JUNIO 2025 TRANSFERENCIA CREDICONTADO POR CONTRATO DE PROMESA DE LA MZ Q LOTE 6 - EL APOLO</t>
  </si>
  <si>
    <t>478</t>
  </si>
  <si>
    <t>519</t>
  </si>
  <si>
    <t>1591</t>
  </si>
  <si>
    <t>1489</t>
  </si>
  <si>
    <t>1764</t>
  </si>
  <si>
    <t>2504</t>
  </si>
  <si>
    <t>3913</t>
  </si>
  <si>
    <t>4364</t>
  </si>
  <si>
    <t>BT01-7850</t>
  </si>
  <si>
    <t>BT01-10567</t>
  </si>
  <si>
    <t>BT01-12363</t>
  </si>
  <si>
    <t>BT01-14641</t>
  </si>
  <si>
    <t>BT01-14642</t>
  </si>
  <si>
    <t>BT01-17085</t>
  </si>
  <si>
    <t>BT01-19230</t>
  </si>
  <si>
    <t>BT01-20762</t>
  </si>
  <si>
    <t>ADJU. CUOTA 8 MZ Q LT 1-APOLO</t>
  </si>
  <si>
    <t>03BT01-8817 PAGO CUOTA 9 FEBRERO 2023 POR CONTRATO PROMESA DE LA MZ Q LOTE 1 - EL APOLO</t>
  </si>
  <si>
    <t>03BT01-10567 PAGO CUOTA 10 MARZO 2023 POR CONTRATO DE PROMESA DE LA MZ Q LOTE 1 - EL APOLO</t>
  </si>
  <si>
    <t>BT01-23665</t>
  </si>
  <si>
    <t>BT01-27952</t>
  </si>
  <si>
    <t>BT01-29912</t>
  </si>
  <si>
    <t>BT01-34167</t>
  </si>
  <si>
    <t>BT01-39021</t>
  </si>
  <si>
    <t>BT01-39206</t>
  </si>
  <si>
    <t>BT01-39207</t>
  </si>
  <si>
    <t xml:space="preserve">03BT01-23665PAGO CUOTA 18 NOVIEMBRE 2023 TRANSFERENCIA CREDICONTADO POR CONTRATO DE PROMESA DE LA MZ Q LOTE 1 - EL APOLO </t>
  </si>
  <si>
    <t>03BT01-27952PAGO CUOTA 19 DICIEMBRE 2023 TRANSFERENCIA CREDICONTADO POR CONTRATO DE PROMESA DE LA MZ Q LOTE 1 - EL APOLO</t>
  </si>
  <si>
    <t>03BT01-29912PAGO CUOTA 20 ENERO 2024 TRANSFERENCIA CREDICONTADO POR CONTRATO DE PROMESA DE LA MZ Q LOTE 1 - EL APOLO</t>
  </si>
  <si>
    <t>03BT01-34167PAGO CUOTA 21 FEBRERO 2024 TRANSFERENCIA CREDICONTADO POR CONTRATO DE PROMESA DE LA MZ Q LOTE 1 - EL APOLO</t>
  </si>
  <si>
    <t>03BT01-39021 PAGO CUOTA 22 MARZO 2024 TRANSFERENCIA CREDICONTADO POR CONTRATO DE PROMESA DE LA MZ Q LOTE 1 - EL APOLO</t>
  </si>
  <si>
    <t>03BT01-39206 PAGO CUOTA 23 ABRIL 2024 TRANSFERENCIA CREDICONTADO POR CONTRATO DE PROMESA DE LA MZ Q LOTE 1 - EL APOLO</t>
  </si>
  <si>
    <t>03BT01-39207 PAGO CUOTA 24 MAYO 2024 TRANSFERENCIA CREDICONTADO POR CONTRATO DE PROMESA DE LA MZ Q LOTE 1 - EL APOLO</t>
  </si>
  <si>
    <t>EB01-2446</t>
  </si>
  <si>
    <t>EB01-2448</t>
  </si>
  <si>
    <t>03EB01-2446 CANCELACION CUOTA INICIAL POR CONTRATO DE PROMESA DE COMPRA VENTA MZ C1 LT 30 EL APOLO</t>
  </si>
  <si>
    <t>03EB01-2448 CUOTA INICIAL POR CONTRATO DE PROMESA DE COMPRA DE ESTACIONAMIENTO NRO 34 CONDOMINIO APOLO</t>
  </si>
  <si>
    <t>MONTERO RODRIGUEZ MARIA MAGDALENA</t>
  </si>
  <si>
    <t>LUNA TORRES LAURA MENSIA</t>
  </si>
  <si>
    <t>03EB01-5979 CUOTA INICIAL MZ G LT 8-APOLO</t>
  </si>
  <si>
    <t>03EB01-7113 CUOTA 1 ABRIL 2022  POR CONTRATO DE PROMESA DE LA MZ. G LOTE 8 - EL APOLO</t>
  </si>
  <si>
    <t>03EB01-8453 CUOTA 2 MZ G LT 8 - EL APOLO</t>
  </si>
  <si>
    <t>03EB01-9119 CUOTA 3 MZ G LT 8-APOLO</t>
  </si>
  <si>
    <t>03BT01-378 SEPAR. COCHERA MZ G LOTE  8- APOLO</t>
  </si>
  <si>
    <t>03BT01-478 03BT01-478CUOTA 4  MZ G LOTE 8 - EL APOLO</t>
  </si>
  <si>
    <t>03BT01-2041 CUOTA 5 MZ G LOTE 8 - EL APOLO</t>
  </si>
  <si>
    <t>03BT01-12363 PAGO CUOTA 11 ABRIL 2023  POR CONTRATO DE PROMESA DE LA MZ Q LT 1 - EL APOLO</t>
  </si>
  <si>
    <t>03BT01-14641 PAGO CUOTA 12 MAYO 2023  POR CONTRATO DE PROMESA DE LA MZ Q LOTE 1 - EL APOLO</t>
  </si>
  <si>
    <t>03BT01-14642 PAGO CUOTA 13 JUNIO 2023  POR CONTRATO DE PROMESA DE LA MZ Q LOTE 1 - EL APOLO</t>
  </si>
  <si>
    <t>03BT01-17085 CUOTA 7 TRANSFERENCIA CREDICONTADO POR CONTRATO DE PROMESA DE LA MZ Q LOTE 1 - EL APOLO</t>
  </si>
  <si>
    <t>03BT01-18174 CUOTA 14 JULIO 2023 TRANSFERENCIA CREDICONTADO POR CONTRATO DE PROMESA DE LA MZ Q LOTE 1 - EL APOLO</t>
  </si>
  <si>
    <t>03BT01-18175 PAGO CUOTA 15 AGOSTO 2023 POR CONTRATO DE PROMESA DE LA MZ Q LOTE 1 - EL APOLO</t>
  </si>
  <si>
    <t>03BT01-19230 CUOTA 16 SEPTIEMBRE 2023 MZ Q LOTE 1 - EL APOLO</t>
  </si>
  <si>
    <t>03BT01-20762PAGO CUOTA 17 OCTUBRE 2023 CONTRATO DE PROMESA DE LA MZ Q LOTE 1 - EL APOLO</t>
  </si>
  <si>
    <t>03EB01-5980 CUOTA INICIAL MZ H LT 11-APOLO</t>
  </si>
  <si>
    <t>03EB01-7114 CUOTA 1 ABRIL 2022 POR CONTRATO DE PROMESA DE LA MZ. H LOTE 11 - EL APOLO</t>
  </si>
  <si>
    <t>03EB01-8452 CUOTA 2 MZ H LT 11 - EL APOLO</t>
  </si>
  <si>
    <t>03EB01-9117 CUOTA 3 MZ H LT 11-APOLO</t>
  </si>
  <si>
    <t>03BT01-379 SEPAR. COCHERA MZ H LOTE 11 - APOLO</t>
  </si>
  <si>
    <t>03BT01-479 CUOTA 4  MZ H LOTE 11 - EL APOLO</t>
  </si>
  <si>
    <t>03BT01-2042 CUOTA 5 MZ H LOTE 11 - EL APOLO</t>
  </si>
  <si>
    <t>03BT01-6433 CUOTA 7  MZ S LOTE 1 - EL APOLO</t>
  </si>
  <si>
    <t>BT01-379</t>
  </si>
  <si>
    <t>LUNA TORRES MARIA ANGELA</t>
  </si>
  <si>
    <t>ADJU. CUOTA 8 MZ S LT 1-APOLO</t>
  </si>
  <si>
    <t>03BT01-8816 PAGO CUOTA 9 FEBRERO 2023 POR CONTRATO DE PROMESA DE LA MZ S LOTE 1 - EL APOLO</t>
  </si>
  <si>
    <t>03BT01-10287 CUOTA 10 MARZO 2023 TRANSFERENCIA CREDICONTADO POR CONTRATO DE PROMESA DE LA MZ S LOTE 1 - EL APOLO</t>
  </si>
  <si>
    <t>03BT01-12364 PAGO CUOTA 11 ABRIL 2023 POR CONTRATO DE PROMESA DE LA MZ S LT 1 - EL APOLO</t>
  </si>
  <si>
    <t>03BT01-13082 PAGO CUOTA 12 MAYO 2023  POR CONTRATO DE PROMESA DE LA MZ S LOTE 1 - EL APOLO</t>
  </si>
  <si>
    <t>03BT01-14643 PAGO CUOTA 13 JUNIO 2023 POR CONTRATO DE PROMESA DE LA MZ S LOTE 1 - EL APOLO</t>
  </si>
  <si>
    <t>03BT01-18176 PAGO CUOTA 14 JULIO 2023 POR CONTRATO DE PROMESA DE LA MZ S LOTE 1 - EL APOLO</t>
  </si>
  <si>
    <t>03BT01-19229 CUOTA 16 SEPTIEMBRE 2023 MZ S LOTE 1 - EL APOLO</t>
  </si>
  <si>
    <t>03BT01-19336 CUOTA 15  MZ S LOTE 1 - APOLO</t>
  </si>
  <si>
    <t>03BT01-20763PAGO CUOTA 17 OCTUBRE 2023 CONTRATO DE PROMESA DE LA MZ S LOTE 1 - EL APOLO</t>
  </si>
  <si>
    <t>BT01-10287</t>
  </si>
  <si>
    <t>BT01-12364</t>
  </si>
  <si>
    <t>BT01-13082</t>
  </si>
  <si>
    <t>BT01-14643</t>
  </si>
  <si>
    <t>BT01-19229</t>
  </si>
  <si>
    <t>BT01-19336</t>
  </si>
  <si>
    <t>BT01-20763</t>
  </si>
  <si>
    <t>BT01-23666</t>
  </si>
  <si>
    <t>BT01-27951</t>
  </si>
  <si>
    <t>BT01-29913</t>
  </si>
  <si>
    <t>BT01-34166</t>
  </si>
  <si>
    <t>BT01-39020</t>
  </si>
  <si>
    <t>BT01-39204</t>
  </si>
  <si>
    <t>BT01-39205</t>
  </si>
  <si>
    <t xml:space="preserve">03BT01-23666PAGO CUOTA 18 NOVIEMBRE 2023 TRANSFERENCIA CREDICONTADO POR CONTRATO DE PROMESA DE LA MZ S LOTE 1 - EL APOLO </t>
  </si>
  <si>
    <t>03BT01-27951PAGO CUOTA 19 DICIEMBRE 2023 TRANSFERENCIA CREDICONTADO POR CONTRATO DE PROMESA DE LA MZ S LOTE 1 - EL APOLO</t>
  </si>
  <si>
    <t>03BT01-29913PAGO CUOTA 20 ENERO 2024 TRANSFERENCIA CREDICONTADO POR CONTRATO DE PROMESA DE LA MZ S LOTE 1 - EL APOLO</t>
  </si>
  <si>
    <t>03BT01-34166PAGO CUOTA 21 FEBRERO 2024 TRANSFERENCIA CREDICONTADO POR CONTRATO DE PROMESA DE LA MZ S LOTE 1 - EL APOLO</t>
  </si>
  <si>
    <t>03BT01-39020 PAGO CUOTA 22 MARZO 2024 TRANSFERENCIA CREDICONTADO POR CONTRATO DE PROMESA DE LA MZ S LOTE 1 - EL APOLO</t>
  </si>
  <si>
    <t>03BT01-39204 PAGO CUOTA 23 ABRIL 2024 TRANSFERENCIA CREDICONTADO POR CONTRATO DE PROMESA DE LA MZ S LOTE 1 - EL APOLO</t>
  </si>
  <si>
    <t>03BT01-39205 PAGO CUOTA 24 MAYO 2024 TRANSFERENCIA CREDICONTADO POR CONTRATO DE PROMESA DE LA MZ S LOTE 1 - EL APOLO</t>
  </si>
  <si>
    <t>SEPAR.ADJU  MZ R LOTE 7 APOLO</t>
  </si>
  <si>
    <t>CAN.CTA. INICIAL ADJ. MZ R LOTE 7 APOLO</t>
  </si>
  <si>
    <t>03BT01-11390 PAGO CUOTA 1 ABRIL 2023 POR CONTRATO DE PROMESA DE LA MZ R LOTE 7 - EL APOLO</t>
  </si>
  <si>
    <t>03BT01-12063 SEPARACION PARA LA ADJUDICACION DE LA MZ R LOTE 7 - EL APOLO</t>
  </si>
  <si>
    <t>03BT01-12627 03BT01-12627PAGO CUOTA 3 JUNIO 2023 POR CONTRATO DE PROMESA DE LA MZ R LOTE 7 - EL APOLO</t>
  </si>
  <si>
    <t>03BT01-13239 03BT01-13239PAGO CUOTA 2 MAYO 2023 POR CONTRATO DE PROMESA DE LA MZ R LOTE 7 - EL APOLO</t>
  </si>
  <si>
    <t>03BT01-15809 03BT01-15809PAGO CUOTA 4 JULIO 2023  POR CONTRATO DE PROMESA DE LA MZ R LOTE 7 - EL APOLO</t>
  </si>
  <si>
    <t>03BT01-16061 PAGO CUOTA 5 AGOSTO 2023 PARA LA ADJUDICACION DE LA MZ R LOTE 7 - EL APOLO</t>
  </si>
  <si>
    <t>03BT01-17984 PAGO CUOTA 6 SETIEMBRE 2023 PARA LA ADJUDICACION DE LA MZ R LOTE 7 - EL APOLO</t>
  </si>
  <si>
    <t>03BT01-19705 CUOTA 7  DE LA MZ R LOTE 7 - EL APOLO</t>
  </si>
  <si>
    <t>03BT01-21149PAGO CUOTA 8 NOVIEMBRE 2023 CONTRATO DE PROMESA DE LA MZ R LOTE 7 - EL APOLO</t>
  </si>
  <si>
    <t>03BT01-23236PAGO CUOTA 9 DICIEMBRE 2023 TRANSFERENCIA CREDICONTADO POR CONTRATO DE PROMESA DE LA MZ R LOTE 7 - EL APOLO</t>
  </si>
  <si>
    <t>03BT01-23573PAGO CUOTA 10 ENERO 2024 TRANSFERENCIA CREDICONTADO POR CONTRATO DE PROMESA DE LA MZ R LOTE 7 - EL APOLO</t>
  </si>
  <si>
    <t>BT01-13239</t>
  </si>
  <si>
    <t>BT01-19705</t>
  </si>
  <si>
    <t>BT01-21149</t>
  </si>
  <si>
    <t>BT01-23236</t>
  </si>
  <si>
    <t>BT01-23573</t>
  </si>
  <si>
    <t>TELLO LEON LUIS ENRIQUE</t>
  </si>
  <si>
    <t>BT01-25623</t>
  </si>
  <si>
    <t>BT01-27534</t>
  </si>
  <si>
    <t>BT01-31470</t>
  </si>
  <si>
    <t>BT01-31471</t>
  </si>
  <si>
    <t>BT01-32981</t>
  </si>
  <si>
    <t>BT01-34902</t>
  </si>
  <si>
    <t>BT01-36674</t>
  </si>
  <si>
    <t>BT01-38281</t>
  </si>
  <si>
    <t>BT01-39874</t>
  </si>
  <si>
    <t>BT01-41678</t>
  </si>
  <si>
    <t>BT01-42783</t>
  </si>
  <si>
    <t>03BT01-25623 PAGO CUOTA 11 FEBRERO 2024 TRANSFERENCIA CREDICONTADO POR CONTRATO DE PROMESA DE LA MZ R LOTE 7 - EL APOLO</t>
  </si>
  <si>
    <t>03BT01-27534PAGO CUOTA 12 MARZO 2024 TRANSFERENCIA CREDICONTADO POR CONTRATO DE PROMESA DE LA MZ R LOTE 7 - EL APOLO</t>
  </si>
  <si>
    <t>03BT01-31470PAGO CUOTA 13 ABRIL 2024 TRANSFERENCIA CREDICONTADO POR CONTRATO DE PROMESA DE LA MZ R LOTE 7 - EL APOLO</t>
  </si>
  <si>
    <t>03BT01-31471PAGO CUOTA 14 MAYO 2024 TRANSFERENCIA CREDICONTADO POR CONTRATO DE PROMESA DE LA MZ R LOTE 7 - EL APOLO</t>
  </si>
  <si>
    <t>03BT01-32981PAGO CUOTA 15 JUNIOO 2024 TRANSFERENCIA CREDICONTADO POR CONTRATO DE PROMESA DE LA MZ R LOTE 7 - EL APOLO</t>
  </si>
  <si>
    <t>03BT01-34902PAGO CUOTA 16 JULIO 2024 TRANSFERENCIA CREDICONTADO POR CONTRATO DE PROMESA DE LA MZ R LOTE 7 - EL APOLO</t>
  </si>
  <si>
    <t>03BT01-36674PAGO CUOTA 17 AGOSTO 2024 TRANSFERENCIA CREDICONTADO POR CONTRATO DE PROMESA DE LA MZ R LOTE 7 - EL APOLO</t>
  </si>
  <si>
    <t>03BT01-38281 PAGO CUOTA 18 SEPTIEMBRE 2024 TRANSFERENCIA CREDICONTADO POR CONTRATO DE PROMESA DE LA MZ R LOTE 7 - EL APOLO</t>
  </si>
  <si>
    <t>03BT01-39874 PAGO CUOTA 19 OCTUBRE 2024 TRANSFERENCIA CREDICONTADO POR CONTRATO DE PROMESA DE LA MZ R LOTE 7 - EL APOLO</t>
  </si>
  <si>
    <t>03BT01-41678 PAGO CUOTA 20 NOVIEMBRE 2024 TRANSFERENCIA CREDICONTADO POR CONTRATO DE PROMESA DE LA MZ R LOTE 7 - EL APOLO</t>
  </si>
  <si>
    <t xml:space="preserve">03BT01-42783 PAGO CUOTA 21 DICIEMBRE 2024 TRANSFERENCIA CREDICONTADO POR CONTRATO DE PROMESA DE LA MZ R LOTE 7 - EL APOLO </t>
  </si>
  <si>
    <t>BT01-44746</t>
  </si>
  <si>
    <t>BT01-46288</t>
  </si>
  <si>
    <t>BT01-47703</t>
  </si>
  <si>
    <t>BT01-49514</t>
  </si>
  <si>
    <t>BT01-51007</t>
  </si>
  <si>
    <t>BT01-52373</t>
  </si>
  <si>
    <t>BT01-53884</t>
  </si>
  <si>
    <t>BT01-55367</t>
  </si>
  <si>
    <t>BT01-56678</t>
  </si>
  <si>
    <t>03BT01-44746 PAGO CUOTA 22 ENERO 2025 TRANSFERENCIA CREDICONTADO POR CONTRATO DE PROMESA DE LA MZ R LOTE 7 - EL APOLO</t>
  </si>
  <si>
    <t>03BT01-46288 PAGO CUOTA 23 FEBRERO 2025 TRANSFERENCIA CREDICONTADO POR CONTRATO DE PROMESA DE LA MZ R LOTE 7 - EL APOLO</t>
  </si>
  <si>
    <t>03BT01-47703 PAGO CUOTA 24 MARZ 2025 TRANSFERENCIA CREDICONTADO POR CONTRATO DE PROMESA DE LA MZ R LOTE 7 - EL APOLO</t>
  </si>
  <si>
    <t xml:space="preserve">03BT01-49514 PAGO CUOTA 25 ABRIL 2025 TRANSFERENCIA CREDICONTADO POR CONTRATO DE PROMESA DE LA MZ R LOTE 7 - EL APOLO </t>
  </si>
  <si>
    <t>03BT01-51007 PAGO CUOTA 26 MAYO 2025 TRANSFERENCIA CREDICONTADO POR CONTRATO DE PROMESA DE LA MZ R LOTE 7 - EL APOLO</t>
  </si>
  <si>
    <t>03BT01-52373 PAGO CUOTA 27 JUNIO 2025 TRANSFERENCIA CREDICONTADO POR CONTRATO DE PROMESA DE LA MZ R LOTE 7 - EL APOLO</t>
  </si>
  <si>
    <t>03BT01-53884 PAGO CUOTA 28 JULIO 2025 TRANSFERENCIA CREDICONTADO POR CONTRATO DE PROMESA DE LA MZ R LOTE 7 - EL APOLO</t>
  </si>
  <si>
    <t xml:space="preserve">03BT01-55367 PAGO CUOTA 29 AGOSTO 2025 TRANSFERENCIA CREDICONTADO POR CONTRATO DE PROMESA DE LA MZ R LOTE 7 - EL APOLO </t>
  </si>
  <si>
    <t>03BT01-56678 PAGO CUOTA 30 SEPTIEMBRE 2025 TRANSFERENCIA CREDICONTADO POR CONTRATO DE PROMESA DE LA MZ R LOTE 7 - EL APOLO</t>
  </si>
  <si>
    <t>NC // MZ B LT 1 AMAREA</t>
  </si>
  <si>
    <t xml:space="preserve">
19887 </t>
  </si>
  <si>
    <t>872637</t>
  </si>
  <si>
    <t>1457</t>
  </si>
  <si>
    <t>946663</t>
  </si>
  <si>
    <t>371701</t>
  </si>
  <si>
    <t>698678</t>
  </si>
  <si>
    <t>295145</t>
  </si>
  <si>
    <t>527631</t>
  </si>
  <si>
    <t>202378</t>
  </si>
  <si>
    <t>732930</t>
  </si>
  <si>
    <t>2128</t>
  </si>
  <si>
    <t>2147</t>
  </si>
  <si>
    <t>2276</t>
  </si>
  <si>
    <t>2401</t>
  </si>
  <si>
    <t>3161</t>
  </si>
  <si>
    <t>822193</t>
  </si>
  <si>
    <t>2552</t>
  </si>
  <si>
    <t>03EB01-7577 SEPARACION PARA ADJUDICACION MZ D LT 9 APOLO</t>
  </si>
  <si>
    <t>03EB01-7578 SEPARACION PARA ADJUDICACION MZ D LT 10 APOLO</t>
  </si>
  <si>
    <t>03EB01-7762 CANCELACION CUOTA INICIAL PARA LA ADJUDICACION MZ D LOTE 10 - APOLO</t>
  </si>
  <si>
    <t>03EB01-7763 ABONO POR CONCEPTO DE SEPARACION DE COCHERA PROYECTO APOLO A CONCRETAR COMPRA NUMERO 79</t>
  </si>
  <si>
    <t>03EB01-7764 ABONO POR CONCEPTO DE SEPARACION DE COCHERA PROYECTO APOLO A CONCRETAR COMPRA NUMERO 78</t>
  </si>
  <si>
    <t>03EB01-7765 CANCELACION CUOTA INICIAL MZ D LOTE 9 - APOLO</t>
  </si>
  <si>
    <t>03EB01-9303 ADJUDICACION MZ D LT 10-APOLO</t>
  </si>
  <si>
    <t>03EB01-9304 ADJUDICACION MZ D LT 9-APOLO</t>
  </si>
  <si>
    <t>03EB01-9326 03EB01-9326CUOTA 1 MZ D LT 10-APOLO</t>
  </si>
  <si>
    <t>03EB01-9582 03EB01-9582CUOTA 1 MZ D LT 9 -APOLO</t>
  </si>
  <si>
    <t>03BT01-196 SEPAR. COCHERA MZ D LOTE 10 -APOLO</t>
  </si>
  <si>
    <t>03BT01-197 SEPAR. COCHERA MZ D LOTE 9 - APOLO</t>
  </si>
  <si>
    <t>03BT01-198 CUOTA 2   MZ D LOTE 9 - APOLO</t>
  </si>
  <si>
    <t>03BT01-199 CUOTA 2   MZ D LOTE 10 - APOLO</t>
  </si>
  <si>
    <t>03BT01-1778 03BT01-1778SEPAR. COCHERA N° 78 -MZ D LOTE 9 -APOLO</t>
  </si>
  <si>
    <t>03BT01-1779 SEPAR COCHERA N° 79 -MZ D LOTE 10 -APOLO</t>
  </si>
  <si>
    <t>03BT01-1774 03BT01-1774CUOTA 3  MZ D LOTE 9 - APOLO</t>
  </si>
  <si>
    <t>03BT01-1775 CUOTA 3  MZ D LOTE 10 - APOLO</t>
  </si>
  <si>
    <t>03BT01-3019 CUOTA 4 MZ D LOTE 10 - EL APOLO</t>
  </si>
  <si>
    <t>03BT01-3020 03BT01-3020SEPAR. COCHERA N° 78 -MZ D LOTE 9 -APOLO</t>
  </si>
  <si>
    <t>03BT01-3021 CUOTA 4 MZ D LOTE 9 - EL APOLO</t>
  </si>
  <si>
    <t>03BT01-4362 03BT01-4362SEPAR. COCHERA N° 78 -MZ D LOTE 9 -APOLO</t>
  </si>
  <si>
    <t>03BT01-4363 SEPAR. COCHERA N° 79-MZ D LOTE 10 -APOLO</t>
  </si>
  <si>
    <t>03BT01-4364 CUOTA 5  MZ D LOTE 10 - EL APOLO</t>
  </si>
  <si>
    <t>03BT01-4365 CUOTA 5  MZ D LOTE 9 - EL APOLO</t>
  </si>
  <si>
    <t>03BT01-4614 03BT01-4614SEPAR. COCHERA N°79 -MZ D LOTE 10 -APOLO</t>
  </si>
  <si>
    <t>03BT01-5622 SEPAR. COCHERA N 78  MZ D LOTE 9 - APOLO</t>
  </si>
  <si>
    <t>03BT01-5620 SEPAR. COCHERA N 79  MZ D LOTE 10 -APOLO</t>
  </si>
  <si>
    <t>03BT01-5618 CUOTA 6 MZ D LOTE 10 - EL APOLO</t>
  </si>
  <si>
    <t>CUOTA 4 MZ U5 LOTE 10 APOLO</t>
  </si>
  <si>
    <t>03BT01-7000CUOTA 7 MZ D LOTE 9 APOLO</t>
  </si>
  <si>
    <t>03BT01-7002SEPAR.COCHERA 78 CTA.7 MZ D LOTE 7 APOLO</t>
  </si>
  <si>
    <t>SEPAR.COCHERA 79 CTA.7 MZ D LOTE 7 APOLO</t>
  </si>
  <si>
    <t>ADJU. CUOTA 6 MZ D LT 9-APOLO</t>
  </si>
  <si>
    <t>ADJU. CUOTA 8 MZ D LT 9-APOLO</t>
  </si>
  <si>
    <t>ADJU. CUOTA 8 MZ D LT 10-APOLO</t>
  </si>
  <si>
    <t>CUOTA 8 COCHERA 78 MZ D LT 9-APOLO</t>
  </si>
  <si>
    <t>CUOTA 8 COCHERA 79 MZ D LT 10-APOLO</t>
  </si>
  <si>
    <t>03BT01-9083 CREDICONTADO PAGO CUOTA 9 MARZO 2023 POR CONTRATO DE PROMESA DE LA MZ. D LT. 10 - EL APOLO</t>
  </si>
  <si>
    <t>03BT01-9086 SEPARACION DE COCHERA A CONCRETAR COMPRA N° 79  CUOTA 9 MARZO 2023 MZ D LT 10 - EL APOLO</t>
  </si>
  <si>
    <t>03BT01-9157 SEPARACION DE COCHERA N° 78 PAGO CUOTA 9 MARZO 2023 DE LA MZ D LT 9 - EL APOLO</t>
  </si>
  <si>
    <t>03BT01-9245 CREDICONTADO PAGO 9 MARZO 2023 POR CONTRATO DE PROMESA DE LA MZ D LT 9- APOLO</t>
  </si>
  <si>
    <t>03BT01-10550 PAGO CUOTA 10 ABRIL 2023 POR CONTRATO DE PROMESA DE LA MZ D LOTE 10 - EL APOLO</t>
  </si>
  <si>
    <t>03BT01-10551 PAGO CUOTA 10 ABRIL 2023 POR CONTRATO DE PROMESA DE LA MZ D LOTE 9 - EL APOLO</t>
  </si>
  <si>
    <t>03BT01-10552 CUOTA 10 ABRIL 2023 SEPARACION DE COCHERA A CONCRETAR COMPRA N° 79 DE LA MZ D LOTE 10   - EL APOLO</t>
  </si>
  <si>
    <t>03BT01-10553 PAGO CUOTA 10 ABRIL 2023 SEPARACION DE COCHERAN° 78 DE LA MZ D LOTE 9 - EL APOLO</t>
  </si>
  <si>
    <t>03BT01-11626 PAGO CUOTA 11 MAYO 2023  POR CONTRATO DE PROMESA DE LA MZ D LOTE 10 - EL APOLO</t>
  </si>
  <si>
    <t>03BT01-11628 03BT01-11628PAGO CUOTA 11 MAYO 2023 POR CONTRATO DE PROMESA DE LA MZ D LOTE 9 - EL APOLO</t>
  </si>
  <si>
    <t>03BT01-11631  CUOTA 11 MAYO 2023SEPARACION DE COCHERA A CONCRETAR COMPRA N° 78 DE LA MZ D LOTE 9 - EL APOLO</t>
  </si>
  <si>
    <t>03BT01-11632 CUOTA 11 MAYO  2023 SEPARACION DE COCHERA A CONCRETAR COMPRA N° 79 DE LA MZ D LOTE 10 - EL APOLO</t>
  </si>
  <si>
    <t>03BT01-13190 CANCELACION TOTAL POR CONCEPTO DE SEPARACION DE COCHERA COMPRA N° 78 DE LA MZ D LOTE 9 - EL APOLO</t>
  </si>
  <si>
    <t>03BT01-13192 CANCELACION CREDICONTADO POR CONTRATO DE PROMESA DE LA MZ D LOTE 10 - EL APOLO</t>
  </si>
  <si>
    <t>03BT01-13193 CANCELACION CREDICONTADO POR CONTRATO DE PROMESA DE LA MZ D LOTE 9 - EL APOLO</t>
  </si>
  <si>
    <t>03BT01-13195 03BT01-13195SEPARACION DE COCHERA COMPRA N° 79 DE LA MZ D LOTE 10 - EL APOLO</t>
  </si>
  <si>
    <t>BT01-10552</t>
  </si>
  <si>
    <t>BT01-11632</t>
  </si>
  <si>
    <t>SERRA SUITO GUILLERMO FERNANDO</t>
  </si>
  <si>
    <t>BT01-10553</t>
  </si>
  <si>
    <t>BT01-11631</t>
  </si>
  <si>
    <t>03BT01-15242 SEPARACION POR CONTRATO DE COMPRAVENTA DE LA MZ M LT 7  - APOLO</t>
  </si>
  <si>
    <t>03BT01-15804 CANCELACION CUOTA INICIAL POR  CONTRATO DE COMPRA VENTA DE LA MZ M LT 7 - APOLO</t>
  </si>
  <si>
    <t>03BT01-16883 PAGO CUOTA 1 AGOSTO 2023  POR CONTRATO DE PROMESA DE LA MZ M LOTE 7 - EL APOLO</t>
  </si>
  <si>
    <t>03BT01-20123 03BT01-20123PAGO CUOTA 2 SEPTIEMBRE 2023 POR CONTRATO DE PROMESA DE LA MZ M LOTE 7 - EL APOLO</t>
  </si>
  <si>
    <t>03BT01-20815PAGO CUOTA 3 OCTUBRE 2023 CONTRATO DE PROMESA DE LA MZ M LOTE 7 - EL APOLO</t>
  </si>
  <si>
    <t>03BT01-22453PAGO CUOTA 4 NOVIEMBRE 2023 CONTRATO DE PROMESA DE LA MZ M LOTE 7 - EL APOLO</t>
  </si>
  <si>
    <t>BT01-16883</t>
  </si>
  <si>
    <t>BT01-20123</t>
  </si>
  <si>
    <t>BT01-20815</t>
  </si>
  <si>
    <t>BT01-22453</t>
  </si>
  <si>
    <t>01171717</t>
  </si>
  <si>
    <t>CHAVARRIA VELAS NATALIA ANDREA</t>
  </si>
  <si>
    <t>BT01-23921</t>
  </si>
  <si>
    <t>BT01-25982</t>
  </si>
  <si>
    <t>BT01-26739</t>
  </si>
  <si>
    <t>BT01-29014</t>
  </si>
  <si>
    <t>BT01-30550</t>
  </si>
  <si>
    <t>BT01-32865</t>
  </si>
  <si>
    <t>BT01-34728</t>
  </si>
  <si>
    <t>BT01-35891</t>
  </si>
  <si>
    <t>BT01-38601</t>
  </si>
  <si>
    <t>BT01-41141</t>
  </si>
  <si>
    <t>BT01-41442</t>
  </si>
  <si>
    <t>BT01-42628</t>
  </si>
  <si>
    <t xml:space="preserve">03BT01-23921PAGO CUOTA 5 DICIEMBRE  2023 TRANSFERENCIA CREDICONTADO POR CONTRATO DE PROMESA DE LA MZ M LOTE 7 - EL APOLO </t>
  </si>
  <si>
    <t>03BT01-25982 PAGO CUOTA 6 ENERO 2024 TRANSFERENCIA CREDICONTADO POR CONTRATO DE PROMESA DE LA MZ M LOTE 7 - EL APOLO</t>
  </si>
  <si>
    <t>03BT01-26739 PAGO CUOTA 7 FEBERO 2024 TRANSFERENCIA CREDICONTADO POR CONTRATO DE PROMESA DE LA MZ M LOTE 7 - EL APOLO</t>
  </si>
  <si>
    <t>03BT01-29014PAGO CUOTA 8 MARZO 2024 TRANSFERENCIA CREDICONTADO POR CONTRATO DE PROMESA DE LA MZ M LOTE 7 - EL APOLO</t>
  </si>
  <si>
    <t>03BT01-30550PAGO CUOTA 9 ABRIL 2024 TRANSFERENCIA CREDICONTADO POR CONTRATO DE PROMESA DE LA MZ M LOTE 7 - EL APOLO</t>
  </si>
  <si>
    <t>03BT01-32865PAGO CUOTA 10 MAYO 2024 TRANSFERENCIA CREDICONTADO POR CONTRATO DE PROMESA DE LA MZ M LOTE 7 - EL APOLO</t>
  </si>
  <si>
    <t>03BT01-34728PAGO CUOTA 11 JUNIO 2024 TRANSFERENCIA CREDICONTADO POR CONTRATO DE PROMESA DE LA MZ M LOTE 7 - EL APOLO</t>
  </si>
  <si>
    <t>03BT01-35891PAGO CUOTA 12 JULIO 2024 TRANSFERENCIA CREDICONTADO POR CONTRATO DE PROMESA DE LA MZ M LOTE 7 - EL APOLO</t>
  </si>
  <si>
    <t>03BT01-38601 PAGO CUOTA 13 AGOSTO 2024 TRANSFERENCIA CREDICONTADO POR CONTRATO DE PROMESA DE LA MZ M LOTE 7 - EL APOLO</t>
  </si>
  <si>
    <t>03BT01-41141 PAGO CUOTA 14 SEPTIEMBRE 2024 TRANSFERENCIA CREDICONTADO POR CONTRATO DE PROMESA DE LA MZ M LOTE 7 - EL APOLO</t>
  </si>
  <si>
    <t>03BT01-41442 PAGO CUOTA 15 OCTUBRE 2024 TRANSFERENCIA CREDICONTADO POR CONTRATO DE PROMESA DE LA MZ M LOTE 7 - EL APOLO</t>
  </si>
  <si>
    <t xml:space="preserve">03BT01-42628 PAGO CUOTA 16 NOVIEMBRE 2024 TRANSFERENCIA CREDICONTADO POR CONTRATO DE PROMESA DE LA MZ M LOTE 7 - EL APOLO </t>
  </si>
  <si>
    <t>BT01-44094</t>
  </si>
  <si>
    <t>BT01-47002</t>
  </si>
  <si>
    <t>BT01-48259</t>
  </si>
  <si>
    <t>BT01-50596</t>
  </si>
  <si>
    <t>BT01-52237</t>
  </si>
  <si>
    <t>BT01-55456</t>
  </si>
  <si>
    <t>BT01-56192</t>
  </si>
  <si>
    <t>03BT01-44094 PAGO CUOTA 17 DICIEMBRE 2024 TRANSFERENCIA CREDICONTADO POR CONTRATO DE PROMESA DE LA MZ M LOTE 7 - EL APOLO</t>
  </si>
  <si>
    <t>03BT01-47002 PAGO A CUENTA DE LA CUOTA 18 ENERO 2025 TRANSFERENCIA CREDICONTADO POR CONTRATO DE PROMESA DE LA MZ M LOTE 7 - EL APOLO</t>
  </si>
  <si>
    <t>03BT01-48259 CANCELACION DE LA CUOTA 18 ENERO 2025 TRANSFERENCIA CREDICONTADO POR CONTRATO DE PROMESA DE LA MZ M LOTE 7 - EL APOLO</t>
  </si>
  <si>
    <t>03BT01-50596 CANCELACION DE LA CUOTA 19 FEBRERO 2025 TRANSFERENCIA CREDICONTADO POR CONTRATO DE PROMESA DE LA MZ M LOTE 7 - EL APOLO</t>
  </si>
  <si>
    <t>03BT01-52237 CANCELACION DE LA CUOTA 20 MARZO 2025 TRANSFERENCIA CREDICONTADO POR CONTRATO DE PROMESA DE LA MZ M LOTE 7 - EL APOLO</t>
  </si>
  <si>
    <t xml:space="preserve">03BT01-55456 CANCELACION DE LA CUOTA 01 JULIO 2025 TRANSFERENCIA CREDICONTADO POR CONTRATO DE PROMESA DE LA MZ M LOTE 7 - EL APOLO </t>
  </si>
  <si>
    <t>03BT01-56192 CANCELACION DE LA CUOTA 02 AGOSTO 2025 TRANSFERENCIA CREDICONTADO POR CONTRATO DE PROMESA DE LA MZ M LOTE 7 - EL APOLO</t>
  </si>
  <si>
    <t>DIFERENCIA ENTRE CUOTA Y BOLETA</t>
  </si>
  <si>
    <t>DIFERENCIA DOLARES</t>
  </si>
  <si>
    <t>TOTAL ABONO DOLARES</t>
  </si>
  <si>
    <t>AP-005</t>
  </si>
  <si>
    <t>MAGALLANES ECHAJAYA OSCAR INOCENCIO</t>
  </si>
  <si>
    <t>02</t>
  </si>
  <si>
    <t>FT01-1405</t>
  </si>
  <si>
    <t>FT01-1454</t>
  </si>
  <si>
    <t>FT01-1456</t>
  </si>
  <si>
    <t>FT01-1618</t>
  </si>
  <si>
    <t>01FT01-1405 CANCELACION DE CUOTA INICIAL PARA LA ADJUDICACION DE LA MZ L - LT 2 DE APOLO</t>
  </si>
  <si>
    <t xml:space="preserve">01FT01-1454 CANCELACION DE CUOTA INICIAL PARA LA ADJUDICACION DE LA MZ L - LT 2 DE APOLO </t>
  </si>
  <si>
    <t xml:space="preserve">01FT01-1456 CANCELACION CUOTA 1 ABRIL 2025 POR COMPRAVENTA DE LA MZ L - LT 2 DE APOLO </t>
  </si>
  <si>
    <t>01FT01-1618 PAGO A CUENTA DE LA CUOTA 2 SEPTIEMBRE 2025 POR COMPRAVENTA DE LA MZ L - LT 2 DE APOLO</t>
  </si>
  <si>
    <t>OSCAR INOCENCIO MAGALLANES ECHAJAYA</t>
  </si>
  <si>
    <t>07FT01-34 TRASPASO APOLO // PAGO CUOTA 1 OCTUBRE 2023 PARA LA ADJUDICACION DE LA MZ N LOTE 1 - EL OASIS</t>
  </si>
  <si>
    <t>FT01-31 // FT01-40</t>
  </si>
  <si>
    <t>JOSE ANTONIO ESPIRITU PERA</t>
  </si>
  <si>
    <t>AP-002</t>
  </si>
  <si>
    <t>BT01-17153</t>
  </si>
  <si>
    <t>BT01-17376</t>
  </si>
  <si>
    <t>BT01-23503</t>
  </si>
  <si>
    <t xml:space="preserve">03BT01-17153 SEPARACION POR COMPRA VENTA DE LOTE MZ  D LT 4 - EL APOLO </t>
  </si>
  <si>
    <t xml:space="preserve">03BT01-17376 CANCELACION CUOTA INICIAL POR CONTRATO DE COMPRA VENTA DE LA MZ D LOTE 4 - EL APOLO </t>
  </si>
  <si>
    <t xml:space="preserve">03BT01-23503PAGO CUOTA 1 DICIEMBRE 2023 TRANSFERENCIA CREDICONTADO POR CONTRATO DE PROMESA DE LA MZ D LOTE 4 - EL APOLO </t>
  </si>
  <si>
    <t>BT01-24630</t>
  </si>
  <si>
    <t>BT01-25906</t>
  </si>
  <si>
    <t>BT01-27790</t>
  </si>
  <si>
    <t>BT01-29492</t>
  </si>
  <si>
    <t>BT01-31116</t>
  </si>
  <si>
    <t>BT01-32831</t>
  </si>
  <si>
    <t>BT01-34357</t>
  </si>
  <si>
    <t>BT01-35892</t>
  </si>
  <si>
    <t>BT01-37613</t>
  </si>
  <si>
    <t>BT01-39202</t>
  </si>
  <si>
    <t>BT01-41139</t>
  </si>
  <si>
    <t>BT01-42861</t>
  </si>
  <si>
    <t xml:space="preserve">03BT01-57656 SEPARACION POR COMPRAVENTA DEL ESTACIONAMIENTO N° 166 DE APOLO </t>
  </si>
  <si>
    <t xml:space="preserve">03BT01-57926 CANCELACION DE COMPRAVENTA DEL ESTACIONAMIENTO N°166 DE APOLO </t>
  </si>
  <si>
    <t xml:space="preserve">03BT01-58404 PAGO CUOTA 23 OCTUBRE 2025 TRANSFERENCIA CREDICONTADO POR CONTRATO DE PROMESA DE LA MZ D LOTE 4 - EL APOLO </t>
  </si>
  <si>
    <t>BT01-44486</t>
  </si>
  <si>
    <t>BT01-46620</t>
  </si>
  <si>
    <t>BT01-48096</t>
  </si>
  <si>
    <t>BT01-49692</t>
  </si>
  <si>
    <t>BT01-51176</t>
  </si>
  <si>
    <t>BT01-52672</t>
  </si>
  <si>
    <t>BT01-54118</t>
  </si>
  <si>
    <t>BT01-55653</t>
  </si>
  <si>
    <t>BT01-57039</t>
  </si>
  <si>
    <t>BT01-58404</t>
  </si>
  <si>
    <t>CHOCHERA ( 166 )</t>
  </si>
  <si>
    <t>BT01-57137</t>
  </si>
  <si>
    <t>BT01-57656</t>
  </si>
  <si>
    <t>BT01-57926</t>
  </si>
  <si>
    <t>AP361637</t>
  </si>
  <si>
    <t>Parcial</t>
  </si>
  <si>
    <t>AP559504</t>
  </si>
  <si>
    <t>FT01-1694</t>
  </si>
  <si>
    <t>PAGO A CUENTA DE LA CUOTA 3 NOVIEMBRE 2025 POR COMPRAVENTA DE LA MZ L - LT 2 DE APOLO</t>
  </si>
  <si>
    <t xml:space="preserve">GRISELDA SOLANGE QUISPE QUISPE </t>
  </si>
  <si>
    <t>BC01-127</t>
  </si>
  <si>
    <t>BT01-1466</t>
  </si>
  <si>
    <t>GRISELDA SOLANGE QUISPE QUISPE</t>
  </si>
  <si>
    <t>03BT01-1466 ADJUDICACION MZ H LOTE 5 - APOLO</t>
  </si>
  <si>
    <t>03BC01-127 ADJUDICACION MZ H LOTE 5 - EL APOLO</t>
  </si>
  <si>
    <t>CUOTA 1 MZ T LOTE 5 APOLO</t>
  </si>
  <si>
    <t>SEPAR.COCHERA N 245 MZ T LOTE 5 APOLO</t>
  </si>
  <si>
    <t>03BT01-8885 PAGO CUOTA 3 FEBRERO 2023  POR CONTRATO DE PROMESA DE LA MZ T LOTE 5 - EL APOLO</t>
  </si>
  <si>
    <t>03BT01-8886 PAGO CUOTA 2 ENERO 2023  POR CONTRATO DE PROMESA DE LA MZ T LOTE 5 - EL APOLO</t>
  </si>
  <si>
    <t>03BT01-8887 SEPARACION DE COCHERA A CONCRETAR COMPRA N° 245 CUOTA 2 FEBRERO 2023 DE LA MZ T LOTE 5 - EL APOLO</t>
  </si>
  <si>
    <t xml:space="preserve">03BT01-11419 SEPARACION DE COCHERA N°245 PAGO CUOTA 4 MARZO 2023 DE LA MZ T LOTE 5 - EL APOLO </t>
  </si>
  <si>
    <t xml:space="preserve">03BT01-11421 PAGO CUOTA 4 MARZO 2023 POR CONTRATO DE PROMESA DE LA MZ T LOTE 5 - EL APOLO </t>
  </si>
  <si>
    <t xml:space="preserve">03BT01-14387 PAGO CUOTA 5 ABRIL 2023 POR CONTRATO DE PROMESA DE LA MZ T LOTE 5 - EL APOLO </t>
  </si>
  <si>
    <t xml:space="preserve">03BT01-14388 PAGO CUOTA 6 MAYO 2023  POR CONTRATO DE PROMESA DE LA MZ T LOTE 5 - EL APOLO </t>
  </si>
  <si>
    <t xml:space="preserve">03BT01-14389 PAGO CUOTA 7 JUNIO 2023  POR CONTRATO DE PROMESA DE LA MZ T LOTE 5 - EL APOLO </t>
  </si>
  <si>
    <t xml:space="preserve">03BT01-16809 PAGO CUOTA 8 JULIO 2023 POR CONTRATO DE PROMESA DE LA MZ T LOTE 5 - EL APOLO </t>
  </si>
  <si>
    <t xml:space="preserve">03BT01-16810 SEPARACION DE COCHERA A CONCRETAR COMPRA N° 245 CUOTA 8 JULIO 2023 DE LA MZ T LOTE 5 - EL APOLO </t>
  </si>
  <si>
    <t xml:space="preserve">03BT01-17303 PAGO CUOTA 9 AGOSTO 2023 POR CONTRATO DE PROMESA DE LA MZ T LOTE 5 - EL APOLO </t>
  </si>
  <si>
    <t xml:space="preserve">03BT01-19404 PAGO CUOTA 10  MZ T LOTE 5 - EL APOLO </t>
  </si>
  <si>
    <t xml:space="preserve">03BT01-19405 SEPARACION DE COCHERAN° 245 CUOTA 9 AGOSTO 2023 DE LA MZ T LOTE 5 - EL APOLO </t>
  </si>
  <si>
    <t xml:space="preserve">03BT01-21150 SEPARACION DE COCHERA  N° 245 CUOTA 10 SEPTIEMBRE 2023 DE LA MZ T LOTE 5 - EL APOLO </t>
  </si>
  <si>
    <t xml:space="preserve">03BT01-21151PAGO CUOTA 11 OCTUBRE 2023 CONTRATO DE PROMESA DE LA MZ T LOTE 5 - EL APOLO </t>
  </si>
  <si>
    <t xml:space="preserve">03BT01-23394PAGO CUOTA 12 NOVIEMBRE 2023 TRANSFERENCIA CREDICONTADO POR CONTRATO DE PROMESA DE LA MZ T LOTE 5 - EL APOLO </t>
  </si>
  <si>
    <t xml:space="preserve">03BT01-23395ABONO POR CONCEPTO DE SEPARACION DE COCHERA A CONCRETAR COMPRA N° 245 CUOTA 11 OCTUBRE 2023 DE LA MZ T LOTE 5 - EL APOLO </t>
  </si>
  <si>
    <t>03BT01-28214ABONO POR CONCEPTO DE SEPARACION DE COCHERA A CONCRETAR COMPRA N° 245 CUOTA 12 NOVIEMBRE 2023 DE LA MZ T LOTE 5 - EL APOLO</t>
  </si>
  <si>
    <t>03BT01-28215ABONO POR CONCEPTO DE SEPARACION DE COCHERA A CONCRETAR COMPRA N° 245 CUOTA 13 DICIEMBRE 2023 DE LA MZ T LOTE 5 - EL APOLO</t>
  </si>
  <si>
    <t>03BT01-28216PAGO CUOTA 13 DICIEMBRE 2023 TRANSFERENCIA CREDICONTADO POR CONTRATO DE PROMESA DE LA MZ T LOTE 5 - EL APOLO</t>
  </si>
  <si>
    <t>03BT01-28217PAGO CUOTA 14 ENERO 2024 TRANSFERENCIA CREDICONTADO POR CONTRATO DE PROMESA DE LA MZ T LOTE 5 - EL APOLO</t>
  </si>
  <si>
    <t>03BT01-29857PAGO CUOTA 15 FEBRERO 2024 TRANSFERENCIA CREDICONTADO POR CONTRATO DE PROMESA DE LA MZ T LOTE 5 - EL APOLO</t>
  </si>
  <si>
    <t>03BT01-29858ABONO POR CONCEPTO DE SEPARACION DE COCHERA A CONCRETAR COMPRA N° 245 CUOTA 14 ENERO 2024 DE LA MZ T LOTE 5 - EL APOLO</t>
  </si>
  <si>
    <t>03BT01-33840PAGO CUOTA 16 MARZO 2024 TRANSFERENCIA CREDICONTADO POR CONTRATO DE PROMESA DE LA MZ T LOTE 5 - EL APOLO</t>
  </si>
  <si>
    <t>03BT01-33841PAGO CUOTA 17 ABRIL 2024 TRANSFERENCIA CREDICONTADO POR CONTRATO DE PROMESA DE LA MZ T LOTE 5 - EL APOLO</t>
  </si>
  <si>
    <t>03BT01-33842PAGO CUOTA 18 MAYO 2024 TRANSFERENCIA CREDICONTADO POR CONTRATO DE PROMESA DE LA MZ T LOTE 5 - EL APOLO</t>
  </si>
  <si>
    <t>03BT01-35424PAGO CUOTA 19 JUNIO 2024 TRANSFERENCIA CREDICONTADO POR CONTRATO DE PROMESA DE LA MZ T LOTE 5 - EL APOLO</t>
  </si>
  <si>
    <t>03BT01-35425PAGO CUOTA 20 JULIO 2024 TRANSFERENCIA CREDICONTADO POR CONTRATO DE PROMESA DE LA MZ T LOTE 5 - EL APOLO</t>
  </si>
  <si>
    <t>03BT01-39167 PAGO CUOTA 21 AGOSTO 2024 TRANSFERENCIA CREDICONTADO POR CONTRATO DE PROMESA DE LA MZ T LOTE 5 - EL APOLO</t>
  </si>
  <si>
    <t>03BT01-39168 PAGO CUOTA 22 SEPTIEMBRE 2024 TRANSFERENCIA CREDICONTADO POR CONTRATO DE PROMESA DE LA MZ T LOTE 5 - EL APOLO</t>
  </si>
  <si>
    <t>03BT01-41931 PAGO CUOTA 23 OCTUBRE 2024 TRANSFERENCIA CREDICONTADO POR CONTRATO DE PROMESA DE LA MZ T LOTE 5 - EL APOLO</t>
  </si>
  <si>
    <t xml:space="preserve">03BT01-43223 PAGO CUOTA 24 NOVIEMBRE 2024 TRANSFERENCIA CREDICONTADO POR CONTRATO DE PROMESA DE LA MZ T LOTE 5 - EL APOLO </t>
  </si>
  <si>
    <t>03BT01-46319 PAGO CUOTA 25 DICIEMBRE 2024 TRANSFERENCIA CREDICONTADO POR CONTRATO DE PROMESA DE LA MZ T LOTE 5 - EL APOLO</t>
  </si>
  <si>
    <t>03BT01-46842 PAGO A CUENTA DE LA CUOTA 26 ENERO 2025 TRANSFERENCIA CREDICONTADO POR CONTRATO DE PROMESA DE LA MZ T LOTE 5 - EL APOLO</t>
  </si>
  <si>
    <t>03BT01-48098 CANCELACION DE CUOTA 26 ENERO 2025 TRANSFERENCIA CREDICONTADO POR CONTRATO DE PROMESA DE LA MZ T LOTE 5 - EL APOLO</t>
  </si>
  <si>
    <t>03BT01-51177 CANCELACION DE CUOTA 27 FEBRERO 2025 TRANSFERENCIA CREDICONTADO POR CONTRATO DE PROMESA DE LA MZ T LOTE 5 - EL APOLO</t>
  </si>
  <si>
    <t>03BT01-52496 CANCELACION DE CUOTA 28 MARZO 2025 TRANSFERENCIA CREDICONTADO POR CONTRATO DE PROMESA DE LA MZ T LOTE 5 - EL APOLO</t>
  </si>
  <si>
    <t xml:space="preserve">03BT01-54090 CANCELACION DE CUOTA 29 ABRIL 2025 TRANSFERENCIA CREDICONTADO POR CONTRATO DE PROMESA DE LA MZ T LOTE 5 - EL APOLO </t>
  </si>
  <si>
    <t xml:space="preserve">03BT01-55651 CANCELACION DE CUOTA 30 MAYO 2025 TRANSFERENCIA CREDICONTADO POR CONTRATO DE PROMESA DE LA MZ T LOTE 5 - EL APOLO </t>
  </si>
  <si>
    <t>BT01-6621</t>
  </si>
  <si>
    <t>BT01-8885</t>
  </si>
  <si>
    <t>BT01-8886</t>
  </si>
  <si>
    <t>BT01-11421</t>
  </si>
  <si>
    <t>BT01-14387</t>
  </si>
  <si>
    <t>BT01-14388</t>
  </si>
  <si>
    <t>BT01-14389</t>
  </si>
  <si>
    <t>BT01-16809</t>
  </si>
  <si>
    <t>BT01-17303</t>
  </si>
  <si>
    <t>BT01-19404</t>
  </si>
  <si>
    <t>BT01-21151</t>
  </si>
  <si>
    <t>BT01-23394</t>
  </si>
  <si>
    <t>BT01-28216</t>
  </si>
  <si>
    <t>BT01-28217</t>
  </si>
  <si>
    <t>BT01-29857</t>
  </si>
  <si>
    <t>BT01-33840</t>
  </si>
  <si>
    <t>BT01-33841</t>
  </si>
  <si>
    <t>BT01-33842</t>
  </si>
  <si>
    <t>BT01-35424</t>
  </si>
  <si>
    <t>BT01-35425</t>
  </si>
  <si>
    <t>BT01-39167</t>
  </si>
  <si>
    <t>BT01-39168</t>
  </si>
  <si>
    <t>BT01-41931</t>
  </si>
  <si>
    <t>BT01-43223</t>
  </si>
  <si>
    <t>BT01-46319</t>
  </si>
  <si>
    <t>BT01-51177</t>
  </si>
  <si>
    <t>BT01-52496</t>
  </si>
  <si>
    <t>BT01-54090</t>
  </si>
  <si>
    <t>BT01-55651</t>
  </si>
  <si>
    <t>CHOCHERA ( 245 )</t>
  </si>
  <si>
    <t>BT01-6644</t>
  </si>
  <si>
    <t>BT01-8887</t>
  </si>
  <si>
    <t>BT01-11419</t>
  </si>
  <si>
    <t>BT01-16810</t>
  </si>
  <si>
    <t>BT01-19405</t>
  </si>
  <si>
    <t>BT01-21150</t>
  </si>
  <si>
    <t>BT01-23395</t>
  </si>
  <si>
    <t>BT01-28214</t>
  </si>
  <si>
    <t>BT01-28215</t>
  </si>
  <si>
    <t>BT01-29858</t>
  </si>
  <si>
    <t>BT01-46842</t>
  </si>
  <si>
    <t>BT01-48098</t>
  </si>
  <si>
    <t>AP-006</t>
  </si>
  <si>
    <t>21075 </t>
  </si>
  <si>
    <t>SANDRA  VENEGAS CONTRERAS</t>
  </si>
  <si>
    <t>AP-004</t>
  </si>
  <si>
    <t>03EB01-5093 SEPARACION PARA LA ADJUDICACION MZ A LT 26 CONDOMINIO APOLO</t>
  </si>
  <si>
    <t>03EB01-5111 CANCELACION CUOTA INICIAL MZ A LOTE 26 - CONDOMINIO APOLO</t>
  </si>
  <si>
    <t>03EB01-5647 03EB01-5647CUOTA 1 MZ A LT 26-APOLO</t>
  </si>
  <si>
    <t>03EB01-6098 CUOTA 2 MZ A LT 26-APOLO</t>
  </si>
  <si>
    <t>03EB01-6999 CUOTA 3 ABRIL 2022  POR CONTRATO DE PROMESA DE LA MZ. A LOTE 26 - EL APOLO</t>
  </si>
  <si>
    <t>03EB01-8061 CUOTA 4 MAYO 2022  POR CONTRATO DE PROMESA DE LA MZ. A LOTE 26 - EL APOLO</t>
  </si>
  <si>
    <t>03EB01-9082 CUOTA 5 MZ A LT 26 - EL APOLO</t>
  </si>
  <si>
    <t>03BT01-618 CUOTA 6  MZ A LOTE 26 - EL APOLO</t>
  </si>
  <si>
    <t>03BT01-1616 CUOTA 7 MZ A LOTE 26 - EL APOLO</t>
  </si>
  <si>
    <t>03BT01-2714 CUOTA 8-11MZ A LOTE 26 - EL APOLO</t>
  </si>
  <si>
    <t>EB01-5093</t>
  </si>
  <si>
    <t>EB01-5111</t>
  </si>
  <si>
    <t>EB01-5647</t>
  </si>
  <si>
    <t>EB01-6098</t>
  </si>
  <si>
    <t>EB01-6999</t>
  </si>
  <si>
    <t>EB01-8061</t>
  </si>
  <si>
    <t>EB01-9082</t>
  </si>
  <si>
    <t>BT01-618</t>
  </si>
  <si>
    <t>BT01-1616</t>
  </si>
  <si>
    <t>BT01-2714</t>
  </si>
  <si>
    <t xml:space="preserve">VENEGAS CONTRERAS SANDRA    </t>
  </si>
  <si>
    <t>BB01-312</t>
  </si>
  <si>
    <t>BT01-11080</t>
  </si>
  <si>
    <t>BT01-17311</t>
  </si>
  <si>
    <t>BT01-20543</t>
  </si>
  <si>
    <t>BT01-22174</t>
  </si>
  <si>
    <t>BT01-15662</t>
  </si>
  <si>
    <t>BT01-18637</t>
  </si>
  <si>
    <t>03BB01-312ADJU. CUOTA 12-14 MZ A LT 26-APOLO</t>
  </si>
  <si>
    <t>03BT01-11080 CUOTA 15 ABRIL 2023. CUOTA 16 MAYO 2023. CUOTA 17 JUNIO 2023 DE LA MZ A LOTE 26 - EL APOLO</t>
  </si>
  <si>
    <t xml:space="preserve">03BT01-15662 PAGO CUOTA 18 JULIO 2023  POR CONTRATO DE PROMESA DE LA MZ A LOTE 26 - EL APOLO </t>
  </si>
  <si>
    <t xml:space="preserve">03BT01-17311 PAGO CUOTA 19 AGOSTO 2023  POR CONTRATO DE PROMESA DE LA MZ A LOTE 26 - EL APOLO </t>
  </si>
  <si>
    <t xml:space="preserve">03BT01-18637 PAGO CUOTA 20 SEPTIEMBRE 2023  POR CONTRATO DE PROMESA DE LA MZ B LOTE 8 - EL APOLO </t>
  </si>
  <si>
    <t xml:space="preserve">03BT01-20543 CUOTA 21 MZ B LOTE 8 - EL APOLO </t>
  </si>
  <si>
    <t xml:space="preserve">03BT01-22174PAGO CUOTA 22 NOVIEMBRE 2023  CONTRATO DE PROMESA DE LA MZ B LOTE 8 - EL APOLO </t>
  </si>
  <si>
    <t>BT01-24536</t>
  </si>
  <si>
    <t>BT01-25312</t>
  </si>
  <si>
    <t xml:space="preserve">03BT01-24536 PAGO CUOTA 23 DICIEMBRE 2023 TRANSFERENCIA CREDICONTADO POR CONTRATO DE PROMESA DE LA MZ B LOTE 8 - EL APOLO </t>
  </si>
  <si>
    <t>03BT01-25312 PAGO CUOTA 24 ENERO 2024 TRANSFERENCIA CREDICONTADO POR CONTRATO DE PROMESA DE LA MZ B LOTE 8 - EL APOLO</t>
  </si>
  <si>
    <t>8-11</t>
  </si>
  <si>
    <t>12-14</t>
  </si>
  <si>
    <t>15-17</t>
  </si>
  <si>
    <t>CHOCHERA ( 23 )</t>
  </si>
  <si>
    <t>CARLOS FERNANDO  INFANTE CORNELIO</t>
  </si>
  <si>
    <t>AP-003</t>
  </si>
  <si>
    <t>CHOCHERA ( 223 )</t>
  </si>
  <si>
    <t>03EB01-7692 03EB01-7692CANCELACION CUOTA INICIAL PARA LA ADJUDICACION MZ H LOTE 13 - APOLO</t>
  </si>
  <si>
    <t>03EB01-7690 03EB01-7690CANCELACION CUOTA INICIAL PARA LA ADJUDICACION MZ H LOTE 13 - APOLO</t>
  </si>
  <si>
    <t>03EB01-7720 03EB01-7720CANCELACION CUOTA INICIAL PARA LA ADJUDICACION MZ H LOTE 13 - APOLO</t>
  </si>
  <si>
    <t>03EB01-7741 ABONO POR CONCEPTO DE SEPARACION DE COCHERA PROYECTO APOLO A CONCRETAR COMPRA NUMERO 223</t>
  </si>
  <si>
    <t>03EB01-9669 ADJUDICACION MZ H LOTE 13 -APOLO</t>
  </si>
  <si>
    <t>03EB01-9670 CUOTA 1 MZ H LT 13 -APOLO</t>
  </si>
  <si>
    <t>03BT01-1048 03BT01-1048ADJUDICACION MZ H LOTE 13 - EL APOLO</t>
  </si>
  <si>
    <t>03BT01-1044 CUOTA 2  MZ H LOTE 13 - EL APOLO</t>
  </si>
  <si>
    <t>03BT01-2126 CUOTA 3  MZ H LOTE 13 - EL APOLO</t>
  </si>
  <si>
    <t>03BT01-2129 SEPAR COCHERA N 223 -MZ H LOTE 13 -APOLO</t>
  </si>
  <si>
    <t>03BT01-3441 SEPAR COCHERA N° 223 MZ H LOTE 13 -APOLO</t>
  </si>
  <si>
    <t>03BT01-3442 CUOTA 4 MZ H LOTE 13 - EL APOLO</t>
  </si>
  <si>
    <t>03BT01-4514 CUOTA 5  MZ H LOTE 13 - EL APOLO</t>
  </si>
  <si>
    <t>03BT01-4515 SEPAR. COCHERA N° 223-MZ H LT 13 -APOLO</t>
  </si>
  <si>
    <t>03BT01-5841 CUOTA 6  MZ H LOTE 13 - EL APOLO</t>
  </si>
  <si>
    <t>03BT01-5947 SEPAR COCHERA N 223  MZ H LOTE 13 -APOLO</t>
  </si>
  <si>
    <t>EB01-7692</t>
  </si>
  <si>
    <t>EB01-7690</t>
  </si>
  <si>
    <t>EB01-7720</t>
  </si>
  <si>
    <t>EB01-7741</t>
  </si>
  <si>
    <t>EB01-9669</t>
  </si>
  <si>
    <t>EB01-9670</t>
  </si>
  <si>
    <t>BT01-1048</t>
  </si>
  <si>
    <t>BT01-1044</t>
  </si>
  <si>
    <t>BT01-2126</t>
  </si>
  <si>
    <t>BT01-2129</t>
  </si>
  <si>
    <t>BT01-3441</t>
  </si>
  <si>
    <t>BT01-3442</t>
  </si>
  <si>
    <t>BT01-4514</t>
  </si>
  <si>
    <t>BT01-4515</t>
  </si>
  <si>
    <t>BT01-5841</t>
  </si>
  <si>
    <t>BT01-5947</t>
  </si>
  <si>
    <t xml:space="preserve">INFANTE CORNELIO CARLOS FERNANDO   </t>
  </si>
  <si>
    <t>BT01-7182</t>
  </si>
  <si>
    <t>BB01-325</t>
  </si>
  <si>
    <t>BT01-9735</t>
  </si>
  <si>
    <t>BT01-9736</t>
  </si>
  <si>
    <t>BT01-10555</t>
  </si>
  <si>
    <t>BT01-10556</t>
  </si>
  <si>
    <t>BT01-12057</t>
  </si>
  <si>
    <t>BT01-12058</t>
  </si>
  <si>
    <t>BT01-13424</t>
  </si>
  <si>
    <t>BT01-13425</t>
  </si>
  <si>
    <t>BT01-15278</t>
  </si>
  <si>
    <t>CUOTA 7 MZ H LOTE 13 APOLO</t>
  </si>
  <si>
    <t>CUOTA 8 MZ H LT 13-APOLO</t>
  </si>
  <si>
    <t>CUOTA 8 COCHERA 223 MZ H LT 13-APOLO</t>
  </si>
  <si>
    <t>03BT01-9735 PAGO CUOTA 9 MARZO 2023  POR CONTRATO DE PROMESA DE LA MZ S LOTE 3 - EL APOLO</t>
  </si>
  <si>
    <t>03BT01-9736 SEPARACION DE COCHERA COMPRA N° 223 CUOTA 9 MARZO 2023 DE LA MZ S LOTE 3 - EL APOLO</t>
  </si>
  <si>
    <t>03BT01-10555 PAGO CUOTA 10 ABRIL 2023 SEPARACION DE COCHERA N° 223 DE LA MZ S LOTE 3 - EL APOLO</t>
  </si>
  <si>
    <t>03BT01-10556 PAGO CUOTA 10 ABRIL 2023 POR CONTRATO DE PROMESA DE LA MZ S LOTE 3 - EL APOLO</t>
  </si>
  <si>
    <t xml:space="preserve">03BT01-12057 PAGO CUOTA 11 MAYO 2023  POR CONTRATO DE PROMESA DE LA MZ S LOTE 3 - EL APOLO </t>
  </si>
  <si>
    <t xml:space="preserve">03BT01-12058 CUOTA 11 MAYO 2023 SEPARACION DE COCHERA A CONCRETAR COMPRA N° 223 DE LA MZ S LOTE 3 - EL APOLO </t>
  </si>
  <si>
    <t xml:space="preserve">03BT01-13424 CANCELACION TOTAL POR CONCEPTO DE SEPARACION DE COCHERA COMPRA N° 223 DE LA MZ S LOTE 3 - APOLO </t>
  </si>
  <si>
    <t xml:space="preserve">03BT01-13425 CANCELACION CREDICONTADO POR CONTRATO DE PROMESA DE LA MZ S LOTE 3 - EL APOLO </t>
  </si>
  <si>
    <t xml:space="preserve">03BT01-15278 03BT01-15278SEPAR.COCHERA 223 CTA.7 MZ H LT 13 APOLO </t>
  </si>
  <si>
    <t>BB01-324</t>
  </si>
  <si>
    <t>TOTAL FACTURADO</t>
  </si>
  <si>
    <t>DNI/RUC</t>
  </si>
  <si>
    <t>NOMBRE/RAZON SOCIAL</t>
  </si>
  <si>
    <t>X</t>
  </si>
  <si>
    <t>abono pendiente</t>
  </si>
  <si>
    <t>confirmar abono parcial o total</t>
  </si>
  <si>
    <t>abonado y fcturado en soles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</si>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</sst>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S/&quot;\ #,##0.00;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* #,##0.00_ ;_ * \-#,##0.00_ ;_ * &quot;-&quot;??_ ;_ @_ "/>
    <numFmt numFmtId="165" formatCode="[$$-340A]#,##0.00;[$$-340A]\-#,##0.0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Calibri"/>
      <family val="2"/>
    </font>
    <font>
      <sz val="10"/>
      <color rgb="FF000000"/>
      <name val="Calibri"/>
      <family val="2"/>
    </font>
    <font>
      <b/>
      <sz val="9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3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1" xfId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/>
    <xf numFmtId="0" fontId="5" fillId="6" borderId="1" xfId="0" applyFont="1" applyFill="1" applyBorder="1" applyAlignment="1">
      <alignment horizontal="center" vertical="center"/>
    </xf>
    <xf numFmtId="164" fontId="5" fillId="6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4" fillId="0" borderId="1" xfId="1" applyFont="1" applyFill="1" applyBorder="1"/>
    <xf numFmtId="49" fontId="3" fillId="0" borderId="0" xfId="1" applyNumberFormat="1" applyFont="1" applyBorder="1" applyAlignment="1">
      <alignment horizontal="center"/>
    </xf>
    <xf numFmtId="164" fontId="4" fillId="0" borderId="0" xfId="1" applyFont="1" applyFill="1"/>
    <xf numFmtId="164" fontId="4" fillId="0" borderId="0" xfId="0" applyNumberFormat="1" applyFont="1"/>
    <xf numFmtId="0" fontId="5" fillId="6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43" fontId="4" fillId="0" borderId="0" xfId="0" applyNumberFormat="1" applyFont="1"/>
    <xf numFmtId="0" fontId="4" fillId="3" borderId="0" xfId="0" applyFont="1" applyFill="1"/>
    <xf numFmtId="164" fontId="4" fillId="3" borderId="0" xfId="1" applyFont="1" applyFill="1"/>
    <xf numFmtId="49" fontId="5" fillId="7" borderId="0" xfId="0" applyNumberFormat="1" applyFont="1" applyFill="1" applyAlignment="1">
      <alignment horizontal="center" vertical="center"/>
    </xf>
    <xf numFmtId="49" fontId="4" fillId="0" borderId="0" xfId="0" applyNumberFormat="1" applyFont="1"/>
    <xf numFmtId="14" fontId="8" fillId="0" borderId="0" xfId="0" applyNumberFormat="1" applyFont="1"/>
    <xf numFmtId="0" fontId="8" fillId="0" borderId="0" xfId="0" applyFont="1"/>
    <xf numFmtId="14" fontId="3" fillId="0" borderId="0" xfId="0" applyNumberFormat="1" applyFont="1" applyAlignment="1">
      <alignment horizontal="center" vertical="center"/>
    </xf>
    <xf numFmtId="164" fontId="5" fillId="8" borderId="0" xfId="1" applyFont="1" applyFill="1" applyAlignment="1">
      <alignment horizontal="center" vertical="center" wrapText="1"/>
    </xf>
    <xf numFmtId="164" fontId="8" fillId="0" borderId="0" xfId="1" applyFont="1" applyFill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4" fillId="2" borderId="0" xfId="0" applyNumberFormat="1" applyFont="1" applyFill="1"/>
    <xf numFmtId="164" fontId="4" fillId="2" borderId="0" xfId="1" applyFont="1" applyFill="1"/>
    <xf numFmtId="14" fontId="4" fillId="2" borderId="0" xfId="0" applyNumberFormat="1" applyFont="1" applyFill="1"/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164" fontId="5" fillId="9" borderId="0" xfId="1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10" borderId="0" xfId="0" applyFont="1" applyFill="1"/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165" fontId="5" fillId="7" borderId="0" xfId="1" applyNumberFormat="1" applyFont="1" applyFill="1" applyAlignment="1">
      <alignment horizontal="center" vertical="center" wrapText="1"/>
    </xf>
    <xf numFmtId="165" fontId="3" fillId="0" borderId="0" xfId="1" applyNumberFormat="1" applyFont="1" applyBorder="1" applyAlignment="1">
      <alignment horizontal="center"/>
    </xf>
    <xf numFmtId="165" fontId="4" fillId="0" borderId="0" xfId="1" applyNumberFormat="1" applyFont="1" applyFill="1"/>
    <xf numFmtId="165" fontId="4" fillId="2" borderId="0" xfId="1" applyNumberFormat="1" applyFont="1" applyFill="1"/>
    <xf numFmtId="165" fontId="4" fillId="0" borderId="0" xfId="1" applyNumberFormat="1" applyFont="1"/>
    <xf numFmtId="7" fontId="4" fillId="0" borderId="0" xfId="1" applyNumberFormat="1" applyFon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9" fontId="4" fillId="0" borderId="0" xfId="1" applyNumberFormat="1" applyFont="1"/>
    <xf numFmtId="0" fontId="4" fillId="8" borderId="0" xfId="0" applyFont="1" applyFill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14" fontId="4" fillId="0" borderId="0" xfId="1" applyNumberFormat="1" applyFont="1"/>
    <xf numFmtId="0" fontId="5" fillId="10" borderId="0" xfId="0" applyFont="1" applyFill="1" applyAlignment="1">
      <alignment horizontal="center" vertical="center" wrapText="1"/>
    </xf>
    <xf numFmtId="44" fontId="4" fillId="0" borderId="0" xfId="1" applyNumberFormat="1" applyFont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  <xf numFmtId="0" fontId="4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65" fontId="4" fillId="0" borderId="0" xfId="1" applyNumberFormat="1" applyFont="1" applyFill="1" applyBorder="1"/>
    <xf numFmtId="164" fontId="4" fillId="0" borderId="0" xfId="1" applyFont="1" applyFill="1" applyBorder="1"/>
    <xf numFmtId="0" fontId="5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/>
    </xf>
    <xf numFmtId="164" fontId="5" fillId="14" borderId="0" xfId="1" applyFont="1" applyFill="1" applyAlignment="1">
      <alignment horizontal="center" vertical="center"/>
    </xf>
    <xf numFmtId="4" fontId="4" fillId="0" borderId="0" xfId="0" applyNumberFormat="1" applyFont="1"/>
    <xf numFmtId="0" fontId="4" fillId="13" borderId="0" xfId="0" applyFont="1" applyFill="1"/>
    <xf numFmtId="164" fontId="5" fillId="7" borderId="0" xfId="1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49" fontId="4" fillId="0" borderId="0" xfId="1" applyNumberFormat="1" applyFont="1" applyFill="1"/>
    <xf numFmtId="49" fontId="4" fillId="2" borderId="0" xfId="1" applyNumberFormat="1" applyFont="1" applyFill="1"/>
    <xf numFmtId="0" fontId="9" fillId="4" borderId="0" xfId="0" applyFont="1" applyFill="1" applyAlignment="1">
      <alignment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14" fontId="4" fillId="0" borderId="0" xfId="1" applyNumberFormat="1" applyFont="1" applyFill="1"/>
    <xf numFmtId="14" fontId="5" fillId="9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1" applyNumberFormat="1" applyFont="1" applyFill="1"/>
    <xf numFmtId="0" fontId="4" fillId="0" borderId="2" xfId="0" applyFont="1" applyBorder="1" applyAlignment="1">
      <alignment horizontal="center"/>
    </xf>
    <xf numFmtId="164" fontId="4" fillId="0" borderId="2" xfId="1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/>
    <xf numFmtId="14" fontId="4" fillId="0" borderId="3" xfId="0" applyNumberFormat="1" applyFont="1" applyBorder="1"/>
    <xf numFmtId="165" fontId="4" fillId="0" borderId="3" xfId="1" applyNumberFormat="1" applyFont="1" applyFill="1" applyBorder="1"/>
    <xf numFmtId="164" fontId="4" fillId="0" borderId="3" xfId="1" applyFont="1" applyFill="1" applyBorder="1"/>
    <xf numFmtId="164" fontId="8" fillId="2" borderId="0" xfId="1" applyFont="1" applyFill="1"/>
    <xf numFmtId="14" fontId="8" fillId="2" borderId="0" xfId="0" applyNumberFormat="1" applyFont="1" applyFill="1"/>
    <xf numFmtId="0" fontId="8" fillId="2" borderId="0" xfId="0" applyFont="1" applyFill="1"/>
    <xf numFmtId="0" fontId="4" fillId="0" borderId="0" xfId="0" applyFont="1" applyAlignment="1">
      <alignment horizontal="center" vertical="center" wrapText="1"/>
    </xf>
    <xf numFmtId="0" fontId="4" fillId="5" borderId="0" xfId="0" applyFont="1" applyFill="1"/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/>
    <xf numFmtId="0" fontId="4" fillId="7" borderId="0" xfId="0" applyFont="1" applyFill="1" applyAlignment="1">
      <alignment horizontal="center"/>
    </xf>
    <xf numFmtId="4" fontId="9" fillId="0" borderId="0" xfId="0" applyNumberFormat="1" applyFont="1" applyAlignment="1">
      <alignment horizontal="left" vertical="center"/>
    </xf>
    <xf numFmtId="14" fontId="3" fillId="13" borderId="0" xfId="0" applyNumberFormat="1" applyFont="1" applyFill="1" applyAlignment="1">
      <alignment horizontal="center"/>
    </xf>
    <xf numFmtId="164" fontId="10" fillId="0" borderId="0" xfId="1" applyFont="1"/>
    <xf numFmtId="0" fontId="10" fillId="0" borderId="0" xfId="0" applyFont="1"/>
    <xf numFmtId="164" fontId="10" fillId="0" borderId="0" xfId="1" applyFont="1" applyFill="1"/>
    <xf numFmtId="0" fontId="5" fillId="3" borderId="1" xfId="0" applyFont="1" applyFill="1" applyBorder="1" applyAlignment="1">
      <alignment horizontal="center" vertical="center"/>
    </xf>
    <xf numFmtId="14" fontId="4" fillId="0" borderId="0" xfId="1" applyNumberFormat="1" applyFont="1" applyFill="1" applyBorder="1"/>
    <xf numFmtId="49" fontId="4" fillId="0" borderId="0" xfId="1" applyNumberFormat="1" applyFont="1" applyFill="1" applyBorder="1"/>
    <xf numFmtId="49" fontId="4" fillId="0" borderId="4" xfId="0" applyNumberFormat="1" applyFont="1" applyBorder="1"/>
    <xf numFmtId="164" fontId="4" fillId="2" borderId="0" xfId="1" applyFont="1" applyFill="1" applyBorder="1"/>
    <xf numFmtId="165" fontId="4" fillId="0" borderId="0" xfId="1" applyNumberFormat="1" applyFont="1" applyFill="1" applyAlignment="1">
      <alignment horizontal="center"/>
    </xf>
    <xf numFmtId="165" fontId="4" fillId="0" borderId="3" xfId="1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3" borderId="0" xfId="1" applyNumberFormat="1" applyFont="1" applyFill="1" applyAlignment="1">
      <alignment horizontal="center"/>
    </xf>
    <xf numFmtId="164" fontId="4" fillId="3" borderId="1" xfId="1" applyFont="1" applyFill="1" applyBorder="1"/>
    <xf numFmtId="49" fontId="4" fillId="3" borderId="0" xfId="0" applyNumberFormat="1" applyFont="1" applyFill="1"/>
    <xf numFmtId="14" fontId="3" fillId="3" borderId="0" xfId="0" applyNumberFormat="1" applyFont="1" applyFill="1" applyAlignment="1">
      <alignment horizontal="center"/>
    </xf>
    <xf numFmtId="165" fontId="4" fillId="3" borderId="0" xfId="1" applyNumberFormat="1" applyFont="1" applyFill="1"/>
    <xf numFmtId="14" fontId="4" fillId="3" borderId="0" xfId="0" applyNumberFormat="1" applyFont="1" applyFill="1" applyAlignment="1">
      <alignment horizontal="center"/>
    </xf>
    <xf numFmtId="43" fontId="4" fillId="3" borderId="0" xfId="0" applyNumberFormat="1" applyFont="1" applyFill="1"/>
    <xf numFmtId="14" fontId="4" fillId="3" borderId="0" xfId="1" applyNumberFormat="1" applyFont="1" applyFill="1"/>
    <xf numFmtId="165" fontId="4" fillId="3" borderId="0" xfId="1" applyNumberFormat="1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3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B6C5-E4BB-407C-90AD-95F3784C5C39}">
  <sheetPr>
    <tabColor rgb="FFFFFF00"/>
  </sheetPr>
  <dimension ref="A1:CY559"/>
  <sheetViews>
    <sheetView tabSelected="1" zoomScale="95" zoomScaleNormal="95" workbookViewId="0">
      <pane ySplit="1" topLeftCell="A524" activePane="bottomLeft" state="frozen"/>
      <selection pane="bottomLeft" activeCell="A560" sqref="A560:XFD3821"/>
    </sheetView>
  </sheetViews>
  <sheetFormatPr baseColWidth="10" defaultColWidth="8" defaultRowHeight="12" x14ac:dyDescent="0.2"/>
  <cols>
    <col min="1" max="1" width="6.42578125" style="7" customWidth="1"/>
    <col min="2" max="2" width="6.28515625" style="8" customWidth="1"/>
    <col min="3" max="3" width="15.42578125" style="7" customWidth="1"/>
    <col min="4" max="4" width="7.5703125" style="7" customWidth="1"/>
    <col min="5" max="5" width="6.140625" style="8" hidden="1" customWidth="1"/>
    <col min="6" max="6" width="6.42578125" style="8" hidden="1" customWidth="1"/>
    <col min="7" max="7" width="6.140625" style="8" customWidth="1"/>
    <col min="8" max="8" width="5.42578125" style="8" bestFit="1" customWidth="1"/>
    <col min="9" max="9" width="7.140625" style="9" customWidth="1"/>
    <col min="10" max="10" width="12.42578125" style="9" bestFit="1" customWidth="1"/>
    <col min="11" max="11" width="9.42578125" style="7" customWidth="1"/>
    <col min="12" max="12" width="8.140625" style="7" bestFit="1" customWidth="1"/>
    <col min="13" max="13" width="9.85546875" style="7" customWidth="1"/>
    <col min="14" max="14" width="10.42578125" style="8" customWidth="1"/>
    <col min="15" max="15" width="33.140625" style="7" customWidth="1"/>
    <col min="16" max="16" width="10.42578125" style="7" customWidth="1"/>
    <col min="17" max="17" width="8.42578125" style="28" customWidth="1"/>
    <col min="18" max="18" width="24" style="7" customWidth="1"/>
    <col min="19" max="19" width="12.140625" style="7" customWidth="1"/>
    <col min="20" max="21" width="11.42578125" style="8" hidden="1" customWidth="1"/>
    <col min="22" max="22" width="8.140625" style="8" customWidth="1"/>
    <col min="23" max="23" width="9.140625" style="73" customWidth="1"/>
    <col min="24" max="24" width="9.5703125" style="7" customWidth="1"/>
    <col min="25" max="25" width="10.28515625" style="7" customWidth="1"/>
    <col min="26" max="26" width="10.28515625" style="78" customWidth="1"/>
    <col min="27" max="27" width="11.28515625" style="121" customWidth="1"/>
    <col min="28" max="28" width="10.28515625" style="8" customWidth="1"/>
    <col min="29" max="29" width="8" style="8"/>
    <col min="30" max="30" width="9.7109375" style="7" customWidth="1"/>
    <col min="31" max="31" width="12.140625" style="9" customWidth="1"/>
    <col min="32" max="32" width="10.42578125" style="9" customWidth="1"/>
    <col min="33" max="33" width="9.85546875" style="7" customWidth="1"/>
    <col min="34" max="34" width="10.42578125" style="7" customWidth="1"/>
    <col min="35" max="36" width="10.42578125" style="7" hidden="1" customWidth="1"/>
    <col min="37" max="37" width="10.42578125" style="7" customWidth="1"/>
    <col min="38" max="38" width="10.42578125" style="9" customWidth="1"/>
    <col min="39" max="39" width="13.28515625" style="9" customWidth="1"/>
    <col min="40" max="40" width="12.140625" style="9" customWidth="1"/>
    <col min="41" max="41" width="9.28515625" style="9" customWidth="1"/>
    <col min="42" max="42" width="9.28515625" style="60" customWidth="1"/>
    <col min="43" max="43" width="12.140625" style="60" hidden="1" customWidth="1"/>
    <col min="44" max="44" width="16.7109375" style="60" hidden="1" customWidth="1"/>
    <col min="45" max="45" width="9.28515625" style="9" customWidth="1"/>
    <col min="46" max="47" width="10.7109375" style="9" customWidth="1"/>
    <col min="48" max="48" width="22.5703125" style="9" customWidth="1"/>
    <col min="49" max="49" width="12" style="8" customWidth="1"/>
    <col min="50" max="50" width="10.28515625" style="7" bestFit="1" customWidth="1"/>
    <col min="51" max="51" width="10.140625" style="7" customWidth="1"/>
    <col min="52" max="52" width="8" style="7" customWidth="1"/>
    <col min="53" max="53" width="10.42578125" style="9" customWidth="1"/>
    <col min="54" max="54" width="15.7109375" style="9" customWidth="1"/>
    <col min="55" max="55" width="12.85546875" style="7" customWidth="1"/>
    <col min="56" max="56" width="11.5703125" style="8" customWidth="1"/>
    <col min="57" max="57" width="9.42578125" style="7" customWidth="1"/>
    <col min="58" max="58" width="8" style="7"/>
    <col min="59" max="60" width="8.85546875" style="7" customWidth="1"/>
    <col min="61" max="61" width="11.140625" style="7" customWidth="1"/>
    <col min="62" max="62" width="11.85546875" style="7" customWidth="1"/>
    <col min="63" max="66" width="8" style="7"/>
    <col min="67" max="67" width="8.85546875" style="7" customWidth="1"/>
    <col min="68" max="72" width="8" style="7"/>
    <col min="73" max="73" width="9.140625" style="7" customWidth="1"/>
    <col min="74" max="78" width="8" style="7"/>
    <col min="79" max="79" width="8.85546875" style="7" customWidth="1"/>
    <col min="80" max="84" width="8" style="7"/>
    <col min="85" max="85" width="9.140625" style="7" customWidth="1"/>
    <col min="86" max="96" width="8" style="7"/>
    <col min="97" max="97" width="10.7109375" style="7" customWidth="1"/>
    <col min="98" max="98" width="11.140625" style="7" customWidth="1"/>
    <col min="99" max="99" width="9.42578125" style="7" customWidth="1"/>
    <col min="100" max="100" width="10.7109375" style="7" customWidth="1"/>
    <col min="101" max="101" width="12.42578125" style="7" customWidth="1"/>
    <col min="102" max="102" width="14.7109375" style="7" customWidth="1"/>
    <col min="103" max="16384" width="8" style="7"/>
  </cols>
  <sheetData>
    <row r="1" spans="1:100" s="5" customFormat="1" ht="38.25" customHeight="1" x14ac:dyDescent="0.25">
      <c r="B1" s="10" t="s">
        <v>29</v>
      </c>
      <c r="C1" s="10" t="s">
        <v>30</v>
      </c>
      <c r="D1" s="10" t="s">
        <v>1</v>
      </c>
      <c r="E1" s="113"/>
      <c r="F1" s="113"/>
      <c r="G1" s="10" t="s">
        <v>31</v>
      </c>
      <c r="H1" s="10" t="s">
        <v>2</v>
      </c>
      <c r="I1" s="11" t="s">
        <v>32</v>
      </c>
      <c r="J1" s="11" t="s">
        <v>33</v>
      </c>
      <c r="K1" s="12" t="s">
        <v>34</v>
      </c>
      <c r="L1" s="10" t="s">
        <v>35</v>
      </c>
      <c r="M1" s="13" t="s">
        <v>40</v>
      </c>
      <c r="N1" s="14" t="s">
        <v>41</v>
      </c>
      <c r="O1" s="14" t="s">
        <v>38</v>
      </c>
      <c r="P1" s="13" t="s">
        <v>40</v>
      </c>
      <c r="Q1" s="27" t="s">
        <v>41</v>
      </c>
      <c r="R1" s="14" t="s">
        <v>38</v>
      </c>
      <c r="S1" s="14"/>
      <c r="T1" s="54" t="s">
        <v>188</v>
      </c>
      <c r="U1" s="54" t="s">
        <v>189</v>
      </c>
      <c r="V1" s="55" t="s">
        <v>136</v>
      </c>
      <c r="W1" s="72" t="s">
        <v>76</v>
      </c>
      <c r="X1" s="13" t="s">
        <v>45</v>
      </c>
      <c r="Y1" s="13" t="s">
        <v>43</v>
      </c>
      <c r="Z1" s="72" t="s">
        <v>199</v>
      </c>
      <c r="AA1" s="48" t="s">
        <v>47</v>
      </c>
      <c r="AB1" s="13" t="s">
        <v>77</v>
      </c>
      <c r="AC1" s="14" t="s">
        <v>48</v>
      </c>
      <c r="AD1" s="13" t="s">
        <v>141</v>
      </c>
      <c r="AE1" s="79" t="s">
        <v>142</v>
      </c>
      <c r="AF1" s="79" t="s">
        <v>202</v>
      </c>
      <c r="AG1" s="74" t="s">
        <v>40</v>
      </c>
      <c r="AH1" s="75" t="s">
        <v>44</v>
      </c>
      <c r="AI1" s="75" t="s">
        <v>871</v>
      </c>
      <c r="AJ1" s="74" t="s">
        <v>872</v>
      </c>
      <c r="AK1" s="75" t="s">
        <v>70</v>
      </c>
      <c r="AL1" s="76" t="s">
        <v>228</v>
      </c>
      <c r="AM1" s="76" t="s">
        <v>229</v>
      </c>
      <c r="AN1" s="76" t="s">
        <v>197</v>
      </c>
      <c r="AO1" s="40" t="s">
        <v>40</v>
      </c>
      <c r="AP1" s="88" t="s">
        <v>44</v>
      </c>
      <c r="AQ1" s="88" t="s">
        <v>871</v>
      </c>
      <c r="AR1" s="88" t="s">
        <v>872</v>
      </c>
      <c r="AS1" s="41" t="s">
        <v>70</v>
      </c>
      <c r="AT1" s="42" t="s">
        <v>228</v>
      </c>
      <c r="AU1" s="42" t="s">
        <v>229</v>
      </c>
      <c r="AV1" s="42" t="s">
        <v>197</v>
      </c>
      <c r="AW1" s="23" t="s">
        <v>71</v>
      </c>
      <c r="AX1" s="23" t="s">
        <v>74</v>
      </c>
      <c r="AY1" s="23" t="s">
        <v>145</v>
      </c>
      <c r="AZ1" s="23" t="s">
        <v>146</v>
      </c>
      <c r="BA1" s="32" t="s">
        <v>144</v>
      </c>
      <c r="BB1" s="32" t="s">
        <v>198</v>
      </c>
      <c r="BC1" s="22" t="s">
        <v>71</v>
      </c>
      <c r="BD1" s="22" t="s">
        <v>74</v>
      </c>
      <c r="BE1" s="22" t="s">
        <v>145</v>
      </c>
      <c r="BF1" s="22" t="s">
        <v>146</v>
      </c>
      <c r="BG1" s="22" t="s">
        <v>144</v>
      </c>
      <c r="BH1" s="22" t="s">
        <v>198</v>
      </c>
      <c r="BI1" s="61" t="s">
        <v>71</v>
      </c>
      <c r="BJ1" s="61" t="s">
        <v>74</v>
      </c>
      <c r="BK1" s="61" t="s">
        <v>145</v>
      </c>
      <c r="BL1" s="61" t="s">
        <v>146</v>
      </c>
      <c r="BM1" s="61" t="s">
        <v>144</v>
      </c>
      <c r="BN1" s="61" t="s">
        <v>198</v>
      </c>
      <c r="BO1" s="68" t="s">
        <v>71</v>
      </c>
      <c r="BP1" s="68" t="s">
        <v>74</v>
      </c>
      <c r="BQ1" s="68" t="s">
        <v>145</v>
      </c>
      <c r="BR1" s="68" t="s">
        <v>146</v>
      </c>
      <c r="BS1" s="68" t="s">
        <v>144</v>
      </c>
      <c r="BT1" s="68" t="s">
        <v>198</v>
      </c>
      <c r="BU1" s="69" t="s">
        <v>71</v>
      </c>
      <c r="BV1" s="69" t="s">
        <v>74</v>
      </c>
      <c r="BW1" s="69" t="s">
        <v>145</v>
      </c>
      <c r="BX1" s="69" t="s">
        <v>146</v>
      </c>
      <c r="BY1" s="69" t="s">
        <v>144</v>
      </c>
      <c r="BZ1" s="69" t="s">
        <v>198</v>
      </c>
      <c r="CA1" s="68" t="s">
        <v>71</v>
      </c>
      <c r="CB1" s="68" t="s">
        <v>74</v>
      </c>
      <c r="CC1" s="68" t="s">
        <v>145</v>
      </c>
      <c r="CD1" s="68" t="s">
        <v>146</v>
      </c>
      <c r="CE1" s="68" t="s">
        <v>144</v>
      </c>
      <c r="CF1" s="68" t="s">
        <v>198</v>
      </c>
      <c r="CG1" s="69" t="s">
        <v>71</v>
      </c>
      <c r="CH1" s="69" t="s">
        <v>74</v>
      </c>
      <c r="CI1" s="69" t="s">
        <v>145</v>
      </c>
      <c r="CJ1" s="69" t="s">
        <v>146</v>
      </c>
      <c r="CK1" s="69" t="s">
        <v>144</v>
      </c>
      <c r="CL1" s="69" t="s">
        <v>198</v>
      </c>
      <c r="CM1" s="68" t="s">
        <v>71</v>
      </c>
      <c r="CN1" s="68" t="s">
        <v>74</v>
      </c>
      <c r="CO1" s="68" t="s">
        <v>145</v>
      </c>
      <c r="CP1" s="68" t="s">
        <v>146</v>
      </c>
      <c r="CQ1" s="68" t="s">
        <v>144</v>
      </c>
      <c r="CR1" s="68" t="s">
        <v>198</v>
      </c>
      <c r="CS1" s="103" t="s">
        <v>870</v>
      </c>
      <c r="CT1" s="103" t="s">
        <v>617</v>
      </c>
      <c r="CU1" s="103" t="s">
        <v>616</v>
      </c>
      <c r="CV1" s="103" t="s">
        <v>615</v>
      </c>
    </row>
    <row r="2" spans="1:100" x14ac:dyDescent="0.2">
      <c r="A2" s="7" t="s">
        <v>42</v>
      </c>
      <c r="B2" s="1">
        <v>102</v>
      </c>
      <c r="C2" s="2" t="s">
        <v>36</v>
      </c>
      <c r="D2" s="2" t="s">
        <v>37</v>
      </c>
      <c r="E2" s="1"/>
      <c r="F2" s="1"/>
      <c r="G2" s="1" t="s">
        <v>24</v>
      </c>
      <c r="H2" s="1">
        <v>7</v>
      </c>
      <c r="I2" s="18">
        <v>130.63999999999999</v>
      </c>
      <c r="J2" s="18">
        <v>38900</v>
      </c>
      <c r="K2" s="2">
        <v>0</v>
      </c>
      <c r="L2" s="2" t="s">
        <v>3</v>
      </c>
      <c r="M2" s="3" t="s">
        <v>16</v>
      </c>
      <c r="N2" s="4" t="s">
        <v>4</v>
      </c>
      <c r="O2" s="7" t="s">
        <v>39</v>
      </c>
      <c r="W2" s="8" t="s">
        <v>196</v>
      </c>
      <c r="X2" s="16">
        <v>45127</v>
      </c>
      <c r="Y2" s="17">
        <v>45142</v>
      </c>
      <c r="Z2" s="17" t="s">
        <v>201</v>
      </c>
      <c r="AA2" s="49">
        <v>32000</v>
      </c>
      <c r="AB2" s="19" t="s">
        <v>49</v>
      </c>
      <c r="AC2" s="4" t="s">
        <v>46</v>
      </c>
      <c r="AD2" s="31">
        <v>45127</v>
      </c>
      <c r="AE2" s="52">
        <v>3000</v>
      </c>
      <c r="AF2" s="52"/>
      <c r="AG2" s="7" t="s">
        <v>72</v>
      </c>
      <c r="AH2" s="15">
        <v>45127</v>
      </c>
      <c r="AI2" s="28" t="s">
        <v>575</v>
      </c>
      <c r="AJ2" s="7" t="s">
        <v>576</v>
      </c>
      <c r="AK2" s="7" t="s">
        <v>73</v>
      </c>
      <c r="AL2" s="20">
        <v>3000</v>
      </c>
      <c r="AM2" s="20"/>
      <c r="AN2" s="20" t="s">
        <v>565</v>
      </c>
      <c r="AP2" s="9"/>
      <c r="AQ2" s="9"/>
      <c r="AR2" s="9"/>
      <c r="AW2" s="15">
        <v>45127</v>
      </c>
      <c r="AX2" s="7">
        <v>1730</v>
      </c>
      <c r="BA2" s="9">
        <v>3000</v>
      </c>
      <c r="BC2" s="21"/>
      <c r="BD2" s="7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>
        <f t="shared" ref="CS2:CS22" si="0">+AL2+AT2</f>
        <v>3000</v>
      </c>
      <c r="CT2" s="20">
        <f t="shared" ref="CT2:CT22" si="1">+BA2+BG2+BM2+BS2+BY2+CE2+CK2+CQ2</f>
        <v>3000</v>
      </c>
      <c r="CU2" s="20">
        <f t="shared" ref="CU2:CU22" si="2">+CS2-CT2</f>
        <v>0</v>
      </c>
      <c r="CV2" s="24">
        <f t="shared" ref="CV2:CV22" si="3">+AE2-AL2-AT2</f>
        <v>0</v>
      </c>
    </row>
    <row r="3" spans="1:100" x14ac:dyDescent="0.2">
      <c r="A3" s="7" t="s">
        <v>42</v>
      </c>
      <c r="B3" s="1">
        <v>102</v>
      </c>
      <c r="C3" s="2" t="s">
        <v>36</v>
      </c>
      <c r="D3" s="2" t="s">
        <v>37</v>
      </c>
      <c r="E3" s="1"/>
      <c r="F3" s="1"/>
      <c r="G3" s="1" t="s">
        <v>24</v>
      </c>
      <c r="H3" s="1">
        <v>7</v>
      </c>
      <c r="I3" s="18">
        <v>130.63999999999999</v>
      </c>
      <c r="J3" s="18">
        <v>38900</v>
      </c>
      <c r="K3" s="2">
        <v>0</v>
      </c>
      <c r="L3" s="2" t="s">
        <v>3</v>
      </c>
      <c r="M3" s="3" t="s">
        <v>16</v>
      </c>
      <c r="N3" s="4" t="s">
        <v>4</v>
      </c>
      <c r="O3" s="7" t="s">
        <v>39</v>
      </c>
      <c r="W3" s="8" t="s">
        <v>196</v>
      </c>
      <c r="X3" s="16">
        <v>45127</v>
      </c>
      <c r="Y3" s="17">
        <v>45142</v>
      </c>
      <c r="Z3" s="17" t="s">
        <v>201</v>
      </c>
      <c r="AA3" s="49">
        <v>32000</v>
      </c>
      <c r="AB3" s="19" t="s">
        <v>49</v>
      </c>
      <c r="AC3" s="4" t="s">
        <v>46</v>
      </c>
      <c r="AD3" s="31">
        <v>45135</v>
      </c>
      <c r="AE3" s="50">
        <f>2000+1000</f>
        <v>3000</v>
      </c>
      <c r="AF3" s="50"/>
      <c r="AG3" s="7" t="s">
        <v>72</v>
      </c>
      <c r="AH3" s="15">
        <v>45141</v>
      </c>
      <c r="AI3" s="28" t="s">
        <v>575</v>
      </c>
      <c r="AJ3" s="7" t="s">
        <v>576</v>
      </c>
      <c r="AK3" s="7" t="s">
        <v>75</v>
      </c>
      <c r="AL3" s="20">
        <v>3000</v>
      </c>
      <c r="AM3" s="20"/>
      <c r="AN3" s="20" t="s">
        <v>566</v>
      </c>
      <c r="AO3" s="20"/>
      <c r="AP3" s="20"/>
      <c r="AQ3" s="20"/>
      <c r="AR3" s="20"/>
      <c r="AS3" s="20"/>
      <c r="AT3" s="20"/>
      <c r="AU3" s="20"/>
      <c r="AV3" s="20"/>
      <c r="AW3" s="15">
        <v>45135</v>
      </c>
      <c r="AX3" s="7">
        <v>1753</v>
      </c>
      <c r="BA3" s="20">
        <v>1000</v>
      </c>
      <c r="BB3" s="20"/>
      <c r="BC3" s="15">
        <v>45135</v>
      </c>
      <c r="BD3" s="7">
        <v>1755</v>
      </c>
      <c r="BG3" s="20">
        <v>1000</v>
      </c>
      <c r="BH3" s="20"/>
      <c r="BI3" s="15">
        <v>45139</v>
      </c>
      <c r="BJ3" s="7">
        <v>1772</v>
      </c>
      <c r="BK3" s="20"/>
      <c r="BL3" s="20"/>
      <c r="BM3" s="20">
        <v>1000</v>
      </c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9">
        <f t="shared" si="0"/>
        <v>3000</v>
      </c>
      <c r="CT3" s="20">
        <f t="shared" si="1"/>
        <v>3000</v>
      </c>
      <c r="CU3" s="20">
        <f t="shared" si="2"/>
        <v>0</v>
      </c>
      <c r="CV3" s="24">
        <f t="shared" si="3"/>
        <v>0</v>
      </c>
    </row>
    <row r="4" spans="1:100" x14ac:dyDescent="0.2">
      <c r="A4" s="7" t="s">
        <v>42</v>
      </c>
      <c r="B4" s="1">
        <v>102</v>
      </c>
      <c r="C4" s="2" t="s">
        <v>36</v>
      </c>
      <c r="D4" s="2" t="s">
        <v>37</v>
      </c>
      <c r="E4" s="1"/>
      <c r="F4" s="1"/>
      <c r="G4" s="1" t="s">
        <v>24</v>
      </c>
      <c r="H4" s="1">
        <v>7</v>
      </c>
      <c r="I4" s="18">
        <v>130.63999999999999</v>
      </c>
      <c r="J4" s="18">
        <v>38900</v>
      </c>
      <c r="K4" s="2">
        <v>0</v>
      </c>
      <c r="L4" s="2" t="s">
        <v>3</v>
      </c>
      <c r="M4" s="3" t="s">
        <v>16</v>
      </c>
      <c r="N4" s="4" t="s">
        <v>4</v>
      </c>
      <c r="O4" s="7" t="s">
        <v>39</v>
      </c>
      <c r="W4" s="8" t="s">
        <v>196</v>
      </c>
      <c r="X4" s="16">
        <v>45127</v>
      </c>
      <c r="Y4" s="17">
        <v>45142</v>
      </c>
      <c r="Z4" s="17" t="s">
        <v>201</v>
      </c>
      <c r="AA4" s="49">
        <v>32000</v>
      </c>
      <c r="AB4" s="19" t="s">
        <v>49</v>
      </c>
      <c r="AC4" s="4" t="s">
        <v>50</v>
      </c>
      <c r="AD4" s="31">
        <v>45168</v>
      </c>
      <c r="AE4" s="50">
        <v>1084</v>
      </c>
      <c r="AF4" s="50"/>
      <c r="AG4" s="7" t="s">
        <v>72</v>
      </c>
      <c r="AH4" s="15">
        <v>45163</v>
      </c>
      <c r="AI4" s="28" t="s">
        <v>575</v>
      </c>
      <c r="AJ4" s="7" t="s">
        <v>576</v>
      </c>
      <c r="AK4" s="7" t="s">
        <v>571</v>
      </c>
      <c r="AL4" s="20">
        <v>1084</v>
      </c>
      <c r="AM4" s="20"/>
      <c r="AN4" s="20" t="s">
        <v>567</v>
      </c>
      <c r="AO4" s="20"/>
      <c r="AP4" s="20"/>
      <c r="AQ4" s="20"/>
      <c r="AR4" s="20"/>
      <c r="AS4" s="20"/>
      <c r="AT4" s="20"/>
      <c r="AU4" s="20"/>
      <c r="AV4" s="20"/>
      <c r="AW4" s="15">
        <v>45152</v>
      </c>
      <c r="AX4" s="7">
        <v>1811</v>
      </c>
      <c r="BA4" s="7">
        <v>500</v>
      </c>
      <c r="BB4" s="20"/>
      <c r="BC4" s="15">
        <v>45162</v>
      </c>
      <c r="BD4" s="7">
        <v>1846</v>
      </c>
      <c r="BG4" s="7">
        <v>584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9">
        <f t="shared" si="0"/>
        <v>1084</v>
      </c>
      <c r="CT4" s="20">
        <f t="shared" si="1"/>
        <v>1084</v>
      </c>
      <c r="CU4" s="20">
        <f t="shared" si="2"/>
        <v>0</v>
      </c>
      <c r="CV4" s="24">
        <f t="shared" si="3"/>
        <v>0</v>
      </c>
    </row>
    <row r="5" spans="1:100" x14ac:dyDescent="0.2">
      <c r="A5" s="7" t="s">
        <v>42</v>
      </c>
      <c r="B5" s="1">
        <v>102</v>
      </c>
      <c r="C5" s="2" t="s">
        <v>36</v>
      </c>
      <c r="D5" s="2" t="s">
        <v>37</v>
      </c>
      <c r="E5" s="1"/>
      <c r="F5" s="1"/>
      <c r="G5" s="1" t="s">
        <v>24</v>
      </c>
      <c r="H5" s="1">
        <v>7</v>
      </c>
      <c r="I5" s="18">
        <v>130.63999999999999</v>
      </c>
      <c r="J5" s="18">
        <v>38900</v>
      </c>
      <c r="K5" s="2">
        <v>0</v>
      </c>
      <c r="L5" s="2" t="s">
        <v>3</v>
      </c>
      <c r="M5" s="3" t="s">
        <v>16</v>
      </c>
      <c r="N5" s="4" t="s">
        <v>4</v>
      </c>
      <c r="O5" s="7" t="s">
        <v>39</v>
      </c>
      <c r="W5" s="8" t="s">
        <v>196</v>
      </c>
      <c r="X5" s="16">
        <v>45127</v>
      </c>
      <c r="Y5" s="17">
        <v>45142</v>
      </c>
      <c r="Z5" s="17" t="s">
        <v>201</v>
      </c>
      <c r="AA5" s="49">
        <v>32000</v>
      </c>
      <c r="AB5" s="19" t="s">
        <v>49</v>
      </c>
      <c r="AC5" s="4" t="s">
        <v>51</v>
      </c>
      <c r="AD5" s="31">
        <v>45199</v>
      </c>
      <c r="AE5" s="50">
        <v>1084</v>
      </c>
      <c r="AF5" s="50"/>
      <c r="AG5" s="7" t="s">
        <v>72</v>
      </c>
      <c r="AH5" s="15">
        <v>45222</v>
      </c>
      <c r="AI5" s="28" t="s">
        <v>575</v>
      </c>
      <c r="AJ5" s="7" t="s">
        <v>576</v>
      </c>
      <c r="AK5" s="7" t="s">
        <v>572</v>
      </c>
      <c r="AL5" s="20">
        <v>1084</v>
      </c>
      <c r="AM5" s="20"/>
      <c r="AN5" s="20" t="s">
        <v>568</v>
      </c>
      <c r="AO5" s="20"/>
      <c r="AP5" s="20"/>
      <c r="AQ5" s="20"/>
      <c r="AR5" s="20"/>
      <c r="AS5" s="20"/>
      <c r="AT5" s="20"/>
      <c r="AU5" s="20"/>
      <c r="AV5" s="20"/>
      <c r="AW5" s="15">
        <v>45199</v>
      </c>
      <c r="AX5" s="7">
        <v>1926</v>
      </c>
      <c r="BA5" s="7">
        <v>500</v>
      </c>
      <c r="BB5" s="20"/>
      <c r="BC5" s="15">
        <v>45200</v>
      </c>
      <c r="BD5" s="7">
        <v>1932</v>
      </c>
      <c r="BG5" s="7">
        <v>584</v>
      </c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9">
        <f t="shared" si="0"/>
        <v>1084</v>
      </c>
      <c r="CT5" s="20">
        <f t="shared" si="1"/>
        <v>1084</v>
      </c>
      <c r="CU5" s="20">
        <f t="shared" si="2"/>
        <v>0</v>
      </c>
      <c r="CV5" s="24">
        <f t="shared" si="3"/>
        <v>0</v>
      </c>
    </row>
    <row r="6" spans="1:100" ht="12.75" x14ac:dyDescent="0.2">
      <c r="A6" s="7" t="s">
        <v>42</v>
      </c>
      <c r="B6" s="1">
        <v>102</v>
      </c>
      <c r="C6" s="2" t="s">
        <v>36</v>
      </c>
      <c r="D6" s="2" t="s">
        <v>37</v>
      </c>
      <c r="E6" s="1"/>
      <c r="F6" s="1"/>
      <c r="G6" s="1" t="s">
        <v>24</v>
      </c>
      <c r="H6" s="1">
        <v>7</v>
      </c>
      <c r="I6" s="18">
        <v>130.63999999999999</v>
      </c>
      <c r="J6" s="18">
        <v>38900</v>
      </c>
      <c r="K6" s="2">
        <v>0</v>
      </c>
      <c r="L6" s="2" t="s">
        <v>3</v>
      </c>
      <c r="M6" s="3" t="s">
        <v>16</v>
      </c>
      <c r="N6" s="4" t="s">
        <v>4</v>
      </c>
      <c r="O6" s="7" t="s">
        <v>39</v>
      </c>
      <c r="W6" s="8" t="s">
        <v>196</v>
      </c>
      <c r="X6" s="16">
        <v>45127</v>
      </c>
      <c r="Y6" s="17">
        <v>45142</v>
      </c>
      <c r="Z6" s="17" t="s">
        <v>201</v>
      </c>
      <c r="AA6" s="49">
        <v>32000</v>
      </c>
      <c r="AB6" s="19" t="s">
        <v>49</v>
      </c>
      <c r="AC6" s="4" t="s">
        <v>52</v>
      </c>
      <c r="AD6" s="31">
        <v>45229</v>
      </c>
      <c r="AE6" s="50">
        <v>1084</v>
      </c>
      <c r="AF6" s="50"/>
      <c r="AG6" s="7" t="s">
        <v>72</v>
      </c>
      <c r="AH6" s="15">
        <v>45236</v>
      </c>
      <c r="AI6" s="28" t="s">
        <v>575</v>
      </c>
      <c r="AJ6" s="7" t="s">
        <v>576</v>
      </c>
      <c r="AK6" s="7" t="s">
        <v>573</v>
      </c>
      <c r="AL6" s="20">
        <v>1084</v>
      </c>
      <c r="AM6" s="20"/>
      <c r="AN6" s="20" t="s">
        <v>569</v>
      </c>
      <c r="AO6" s="20"/>
      <c r="AP6" s="20"/>
      <c r="AQ6" s="20"/>
      <c r="AR6" s="20"/>
      <c r="AS6" s="20"/>
      <c r="AT6" s="20"/>
      <c r="AU6" s="20"/>
      <c r="AV6" s="20"/>
      <c r="AW6" s="15">
        <v>45229</v>
      </c>
      <c r="AX6" s="7">
        <v>2008</v>
      </c>
      <c r="BA6" s="81">
        <v>700</v>
      </c>
      <c r="BB6" s="20"/>
      <c r="BC6" s="15">
        <v>45229</v>
      </c>
      <c r="BD6" s="7">
        <v>2009</v>
      </c>
      <c r="BG6" s="81">
        <v>384</v>
      </c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9">
        <f t="shared" si="0"/>
        <v>1084</v>
      </c>
      <c r="CT6" s="20">
        <f t="shared" si="1"/>
        <v>1084</v>
      </c>
      <c r="CU6" s="20">
        <f t="shared" si="2"/>
        <v>0</v>
      </c>
      <c r="CV6" s="24">
        <f t="shared" si="3"/>
        <v>0</v>
      </c>
    </row>
    <row r="7" spans="1:100" ht="12.75" x14ac:dyDescent="0.2">
      <c r="A7" s="7" t="s">
        <v>42</v>
      </c>
      <c r="B7" s="1">
        <v>102</v>
      </c>
      <c r="C7" s="2" t="s">
        <v>36</v>
      </c>
      <c r="D7" s="2" t="s">
        <v>37</v>
      </c>
      <c r="E7" s="1"/>
      <c r="F7" s="1"/>
      <c r="G7" s="1" t="s">
        <v>24</v>
      </c>
      <c r="H7" s="1">
        <v>7</v>
      </c>
      <c r="I7" s="18">
        <v>130.63999999999999</v>
      </c>
      <c r="J7" s="18">
        <v>38900</v>
      </c>
      <c r="K7" s="2">
        <v>0</v>
      </c>
      <c r="L7" s="2" t="s">
        <v>3</v>
      </c>
      <c r="M7" s="3" t="s">
        <v>16</v>
      </c>
      <c r="N7" s="4" t="s">
        <v>4</v>
      </c>
      <c r="O7" s="7" t="s">
        <v>39</v>
      </c>
      <c r="W7" s="8" t="s">
        <v>196</v>
      </c>
      <c r="X7" s="16">
        <v>45127</v>
      </c>
      <c r="Y7" s="17">
        <v>45142</v>
      </c>
      <c r="Z7" s="17" t="s">
        <v>201</v>
      </c>
      <c r="AA7" s="49">
        <v>32000</v>
      </c>
      <c r="AB7" s="19" t="s">
        <v>49</v>
      </c>
      <c r="AC7" s="4" t="s">
        <v>53</v>
      </c>
      <c r="AD7" s="31">
        <v>45260</v>
      </c>
      <c r="AE7" s="50">
        <v>1084</v>
      </c>
      <c r="AF7" s="50"/>
      <c r="AG7" s="7" t="s">
        <v>72</v>
      </c>
      <c r="AH7" s="15">
        <v>45267</v>
      </c>
      <c r="AI7" s="28" t="s">
        <v>575</v>
      </c>
      <c r="AJ7" s="7" t="s">
        <v>576</v>
      </c>
      <c r="AK7" s="7" t="s">
        <v>574</v>
      </c>
      <c r="AL7" s="20">
        <v>1084</v>
      </c>
      <c r="AM7" s="20"/>
      <c r="AN7" s="20" t="s">
        <v>570</v>
      </c>
      <c r="AO7" s="20"/>
      <c r="AP7" s="20"/>
      <c r="AQ7" s="20"/>
      <c r="AR7" s="20"/>
      <c r="AS7" s="20"/>
      <c r="AT7" s="20"/>
      <c r="AU7" s="20"/>
      <c r="AV7" s="20"/>
      <c r="AW7" s="15">
        <v>45256</v>
      </c>
      <c r="AX7" s="7">
        <v>2074</v>
      </c>
      <c r="BA7" s="81">
        <v>530</v>
      </c>
      <c r="BB7" s="20"/>
      <c r="BC7" s="15">
        <v>45262</v>
      </c>
      <c r="BD7" s="7">
        <v>2088</v>
      </c>
      <c r="BG7" s="84">
        <v>554</v>
      </c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9">
        <f t="shared" si="0"/>
        <v>1084</v>
      </c>
      <c r="CT7" s="20">
        <f t="shared" si="1"/>
        <v>1084</v>
      </c>
      <c r="CU7" s="20">
        <f t="shared" si="2"/>
        <v>0</v>
      </c>
      <c r="CV7" s="24">
        <f t="shared" si="3"/>
        <v>0</v>
      </c>
    </row>
    <row r="8" spans="1:100" ht="12.75" x14ac:dyDescent="0.2">
      <c r="A8" s="7" t="s">
        <v>42</v>
      </c>
      <c r="B8" s="1">
        <v>102</v>
      </c>
      <c r="C8" s="2" t="s">
        <v>36</v>
      </c>
      <c r="D8" s="2" t="s">
        <v>37</v>
      </c>
      <c r="E8" s="1"/>
      <c r="F8" s="1"/>
      <c r="G8" s="1" t="s">
        <v>24</v>
      </c>
      <c r="H8" s="1">
        <v>7</v>
      </c>
      <c r="I8" s="18">
        <v>130.63999999999999</v>
      </c>
      <c r="J8" s="18">
        <v>38900</v>
      </c>
      <c r="K8" s="2">
        <v>0</v>
      </c>
      <c r="L8" s="2" t="s">
        <v>3</v>
      </c>
      <c r="M8" s="3" t="s">
        <v>16</v>
      </c>
      <c r="N8" s="4" t="s">
        <v>4</v>
      </c>
      <c r="O8" s="7" t="s">
        <v>39</v>
      </c>
      <c r="W8" s="8" t="s">
        <v>196</v>
      </c>
      <c r="X8" s="16">
        <v>45127</v>
      </c>
      <c r="Y8" s="17">
        <v>45142</v>
      </c>
      <c r="Z8" s="17" t="s">
        <v>201</v>
      </c>
      <c r="AA8" s="49">
        <v>32000</v>
      </c>
      <c r="AB8" s="19" t="s">
        <v>49</v>
      </c>
      <c r="AC8" s="4" t="s">
        <v>54</v>
      </c>
      <c r="AD8" s="31">
        <v>45290</v>
      </c>
      <c r="AE8" s="50">
        <v>1084</v>
      </c>
      <c r="AF8" s="50"/>
      <c r="AG8" s="7" t="s">
        <v>72</v>
      </c>
      <c r="AH8" s="15">
        <v>45296</v>
      </c>
      <c r="AI8" s="28" t="s">
        <v>575</v>
      </c>
      <c r="AJ8" s="7" t="s">
        <v>576</v>
      </c>
      <c r="AK8" s="7" t="s">
        <v>577</v>
      </c>
      <c r="AL8" s="77">
        <v>1084</v>
      </c>
      <c r="AM8" s="7"/>
      <c r="AN8" s="7" t="s">
        <v>589</v>
      </c>
      <c r="AO8" s="20"/>
      <c r="AP8" s="20"/>
      <c r="AQ8" s="20"/>
      <c r="AR8" s="20"/>
      <c r="AS8" s="20"/>
      <c r="AT8" s="20"/>
      <c r="AU8" s="20"/>
      <c r="AV8" s="20"/>
      <c r="AW8" s="80">
        <v>45294</v>
      </c>
      <c r="AX8" s="81">
        <v>2175</v>
      </c>
      <c r="BA8" s="77">
        <v>1084</v>
      </c>
      <c r="BB8" s="20"/>
      <c r="BD8" s="7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9">
        <f t="shared" si="0"/>
        <v>1084</v>
      </c>
      <c r="CT8" s="20">
        <f t="shared" si="1"/>
        <v>1084</v>
      </c>
      <c r="CU8" s="20">
        <f t="shared" si="2"/>
        <v>0</v>
      </c>
      <c r="CV8" s="24">
        <f t="shared" si="3"/>
        <v>0</v>
      </c>
    </row>
    <row r="9" spans="1:100" x14ac:dyDescent="0.2">
      <c r="A9" s="7" t="s">
        <v>42</v>
      </c>
      <c r="B9" s="1">
        <v>102</v>
      </c>
      <c r="C9" s="2" t="s">
        <v>36</v>
      </c>
      <c r="D9" s="2" t="s">
        <v>37</v>
      </c>
      <c r="E9" s="1"/>
      <c r="F9" s="1"/>
      <c r="G9" s="1" t="s">
        <v>24</v>
      </c>
      <c r="H9" s="1">
        <v>7</v>
      </c>
      <c r="I9" s="18">
        <v>130.63999999999999</v>
      </c>
      <c r="J9" s="18">
        <v>38900</v>
      </c>
      <c r="K9" s="2">
        <v>0</v>
      </c>
      <c r="L9" s="2" t="s">
        <v>3</v>
      </c>
      <c r="M9" s="3" t="s">
        <v>16</v>
      </c>
      <c r="N9" s="4" t="s">
        <v>4</v>
      </c>
      <c r="O9" s="7" t="s">
        <v>39</v>
      </c>
      <c r="W9" s="8" t="s">
        <v>196</v>
      </c>
      <c r="X9" s="16">
        <v>45127</v>
      </c>
      <c r="Y9" s="17">
        <v>45142</v>
      </c>
      <c r="Z9" s="17" t="s">
        <v>201</v>
      </c>
      <c r="AA9" s="49">
        <v>32000</v>
      </c>
      <c r="AB9" s="19" t="s">
        <v>49</v>
      </c>
      <c r="AC9" s="4" t="s">
        <v>55</v>
      </c>
      <c r="AD9" s="31">
        <v>45321</v>
      </c>
      <c r="AE9" s="50">
        <v>1084</v>
      </c>
      <c r="AF9" s="50"/>
      <c r="AG9" s="7" t="s">
        <v>72</v>
      </c>
      <c r="AH9" s="15">
        <v>45334</v>
      </c>
      <c r="AI9" s="28" t="s">
        <v>575</v>
      </c>
      <c r="AJ9" s="7" t="s">
        <v>576</v>
      </c>
      <c r="AK9" s="7" t="s">
        <v>578</v>
      </c>
      <c r="AL9" s="77">
        <v>1084</v>
      </c>
      <c r="AM9" s="7"/>
      <c r="AN9" s="7" t="s">
        <v>590</v>
      </c>
      <c r="AO9" s="20"/>
      <c r="AP9" s="20"/>
      <c r="AQ9" s="20"/>
      <c r="AR9" s="20"/>
      <c r="AS9" s="20"/>
      <c r="AT9" s="20"/>
      <c r="AU9" s="20"/>
      <c r="AV9" s="20"/>
      <c r="AW9" s="15">
        <v>45324</v>
      </c>
      <c r="AX9" s="7">
        <v>2270</v>
      </c>
      <c r="BA9" s="20">
        <v>777</v>
      </c>
      <c r="BB9" s="7"/>
      <c r="BC9" s="15">
        <v>45331</v>
      </c>
      <c r="BD9" s="7">
        <v>2301</v>
      </c>
      <c r="BG9" s="20">
        <v>300</v>
      </c>
      <c r="BH9" s="20"/>
      <c r="BI9" s="15">
        <v>45331</v>
      </c>
      <c r="BJ9" s="7">
        <v>2302</v>
      </c>
      <c r="BL9" s="20"/>
      <c r="BM9" s="20">
        <v>7</v>
      </c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9">
        <f t="shared" si="0"/>
        <v>1084</v>
      </c>
      <c r="CT9" s="20">
        <f t="shared" si="1"/>
        <v>1084</v>
      </c>
      <c r="CU9" s="20">
        <f t="shared" si="2"/>
        <v>0</v>
      </c>
      <c r="CV9" s="24">
        <f t="shared" si="3"/>
        <v>0</v>
      </c>
    </row>
    <row r="10" spans="1:100" x14ac:dyDescent="0.2">
      <c r="A10" s="7" t="s">
        <v>42</v>
      </c>
      <c r="B10" s="1">
        <v>102</v>
      </c>
      <c r="C10" s="2" t="s">
        <v>36</v>
      </c>
      <c r="D10" s="2" t="s">
        <v>37</v>
      </c>
      <c r="E10" s="1"/>
      <c r="F10" s="1"/>
      <c r="G10" s="1" t="s">
        <v>24</v>
      </c>
      <c r="H10" s="1">
        <v>7</v>
      </c>
      <c r="I10" s="18">
        <v>130.63999999999999</v>
      </c>
      <c r="J10" s="18">
        <v>38900</v>
      </c>
      <c r="K10" s="2">
        <v>0</v>
      </c>
      <c r="L10" s="2" t="s">
        <v>3</v>
      </c>
      <c r="M10" s="3" t="s">
        <v>16</v>
      </c>
      <c r="N10" s="4" t="s">
        <v>4</v>
      </c>
      <c r="O10" s="7" t="s">
        <v>39</v>
      </c>
      <c r="W10" s="8" t="s">
        <v>196</v>
      </c>
      <c r="X10" s="16">
        <v>45127</v>
      </c>
      <c r="Y10" s="17">
        <v>45142</v>
      </c>
      <c r="Z10" s="17" t="s">
        <v>201</v>
      </c>
      <c r="AA10" s="49">
        <v>32000</v>
      </c>
      <c r="AB10" s="19" t="s">
        <v>49</v>
      </c>
      <c r="AC10" s="4" t="s">
        <v>56</v>
      </c>
      <c r="AD10" s="31">
        <v>45351</v>
      </c>
      <c r="AE10" s="50">
        <v>1084</v>
      </c>
      <c r="AF10" s="50"/>
      <c r="AG10" s="7" t="s">
        <v>72</v>
      </c>
      <c r="AH10" s="15">
        <v>45351</v>
      </c>
      <c r="AI10" s="28" t="s">
        <v>575</v>
      </c>
      <c r="AJ10" s="7" t="s">
        <v>576</v>
      </c>
      <c r="AK10" s="7" t="s">
        <v>579</v>
      </c>
      <c r="AL10" s="77">
        <v>1084</v>
      </c>
      <c r="AM10" s="7"/>
      <c r="AN10" s="7" t="s">
        <v>591</v>
      </c>
      <c r="AO10" s="20"/>
      <c r="AP10" s="20"/>
      <c r="AQ10" s="20"/>
      <c r="AR10" s="20"/>
      <c r="AS10" s="20"/>
      <c r="AT10" s="20"/>
      <c r="AU10" s="20"/>
      <c r="AV10" s="20"/>
      <c r="AW10" s="15">
        <v>45350</v>
      </c>
      <c r="AX10" s="7">
        <v>2358</v>
      </c>
      <c r="BA10" s="20">
        <v>1000</v>
      </c>
      <c r="BB10" s="20"/>
      <c r="BC10" s="15">
        <v>45351</v>
      </c>
      <c r="BD10" s="7">
        <v>2361</v>
      </c>
      <c r="BG10" s="20">
        <v>84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9">
        <f t="shared" si="0"/>
        <v>1084</v>
      </c>
      <c r="CT10" s="20">
        <f t="shared" si="1"/>
        <v>1084</v>
      </c>
      <c r="CU10" s="20">
        <f t="shared" si="2"/>
        <v>0</v>
      </c>
      <c r="CV10" s="24">
        <f t="shared" si="3"/>
        <v>0</v>
      </c>
    </row>
    <row r="11" spans="1:100" x14ac:dyDescent="0.2">
      <c r="A11" s="7" t="s">
        <v>42</v>
      </c>
      <c r="B11" s="1">
        <v>102</v>
      </c>
      <c r="C11" s="2" t="s">
        <v>36</v>
      </c>
      <c r="D11" s="2" t="s">
        <v>37</v>
      </c>
      <c r="E11" s="1"/>
      <c r="F11" s="1"/>
      <c r="G11" s="1" t="s">
        <v>24</v>
      </c>
      <c r="H11" s="1">
        <v>7</v>
      </c>
      <c r="I11" s="18">
        <v>130.63999999999999</v>
      </c>
      <c r="J11" s="18">
        <v>38900</v>
      </c>
      <c r="K11" s="2">
        <v>0</v>
      </c>
      <c r="L11" s="2" t="s">
        <v>3</v>
      </c>
      <c r="M11" s="3" t="s">
        <v>16</v>
      </c>
      <c r="N11" s="4" t="s">
        <v>4</v>
      </c>
      <c r="O11" s="7" t="s">
        <v>39</v>
      </c>
      <c r="W11" s="8" t="s">
        <v>196</v>
      </c>
      <c r="X11" s="16">
        <v>45127</v>
      </c>
      <c r="Y11" s="17">
        <v>45142</v>
      </c>
      <c r="Z11" s="17" t="s">
        <v>201</v>
      </c>
      <c r="AA11" s="49">
        <v>32000</v>
      </c>
      <c r="AB11" s="19" t="s">
        <v>49</v>
      </c>
      <c r="AC11" s="4" t="s">
        <v>57</v>
      </c>
      <c r="AD11" s="31">
        <v>45381</v>
      </c>
      <c r="AE11" s="50">
        <v>1084</v>
      </c>
      <c r="AF11" s="50"/>
      <c r="AG11" s="7" t="s">
        <v>72</v>
      </c>
      <c r="AH11" s="15">
        <v>45387</v>
      </c>
      <c r="AI11" s="28" t="s">
        <v>575</v>
      </c>
      <c r="AJ11" s="7" t="s">
        <v>576</v>
      </c>
      <c r="AK11" s="7" t="s">
        <v>580</v>
      </c>
      <c r="AL11" s="77">
        <v>1084</v>
      </c>
      <c r="AM11" s="7"/>
      <c r="AN11" s="7" t="s">
        <v>592</v>
      </c>
      <c r="AO11" s="20"/>
      <c r="AP11" s="20"/>
      <c r="AQ11" s="20"/>
      <c r="AR11" s="20"/>
      <c r="AS11" s="20"/>
      <c r="AT11" s="20"/>
      <c r="AU11" s="20"/>
      <c r="AV11" s="20"/>
      <c r="AW11" s="15">
        <v>45383</v>
      </c>
      <c r="AX11" s="7">
        <v>2505</v>
      </c>
      <c r="BA11" s="20">
        <v>800</v>
      </c>
      <c r="BB11" s="20"/>
      <c r="BC11" s="15">
        <v>45385</v>
      </c>
      <c r="BD11" s="7">
        <v>2518</v>
      </c>
      <c r="BG11" s="20">
        <v>284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9">
        <f t="shared" si="0"/>
        <v>1084</v>
      </c>
      <c r="CT11" s="20">
        <f t="shared" si="1"/>
        <v>1084</v>
      </c>
      <c r="CU11" s="20">
        <f t="shared" si="2"/>
        <v>0</v>
      </c>
      <c r="CV11" s="24">
        <f t="shared" si="3"/>
        <v>0</v>
      </c>
    </row>
    <row r="12" spans="1:100" x14ac:dyDescent="0.2">
      <c r="A12" s="7" t="s">
        <v>42</v>
      </c>
      <c r="B12" s="1">
        <v>102</v>
      </c>
      <c r="C12" s="2" t="s">
        <v>36</v>
      </c>
      <c r="D12" s="2" t="s">
        <v>37</v>
      </c>
      <c r="E12" s="1"/>
      <c r="F12" s="1"/>
      <c r="G12" s="1" t="s">
        <v>24</v>
      </c>
      <c r="H12" s="1">
        <v>7</v>
      </c>
      <c r="I12" s="18">
        <v>130.63999999999999</v>
      </c>
      <c r="J12" s="18">
        <v>38900</v>
      </c>
      <c r="K12" s="2">
        <v>0</v>
      </c>
      <c r="L12" s="2" t="s">
        <v>3</v>
      </c>
      <c r="M12" s="3" t="s">
        <v>16</v>
      </c>
      <c r="N12" s="4" t="s">
        <v>4</v>
      </c>
      <c r="O12" s="7" t="s">
        <v>39</v>
      </c>
      <c r="W12" s="8" t="s">
        <v>196</v>
      </c>
      <c r="X12" s="16">
        <v>45127</v>
      </c>
      <c r="Y12" s="17">
        <v>45142</v>
      </c>
      <c r="Z12" s="17" t="s">
        <v>201</v>
      </c>
      <c r="AA12" s="49">
        <v>32000</v>
      </c>
      <c r="AB12" s="19" t="s">
        <v>49</v>
      </c>
      <c r="AC12" s="4" t="s">
        <v>58</v>
      </c>
      <c r="AD12" s="31">
        <v>45412</v>
      </c>
      <c r="AE12" s="50">
        <v>1084</v>
      </c>
      <c r="AF12" s="50"/>
      <c r="AG12" s="7" t="s">
        <v>72</v>
      </c>
      <c r="AH12" s="15">
        <v>45412</v>
      </c>
      <c r="AI12" s="28" t="s">
        <v>575</v>
      </c>
      <c r="AJ12" s="7" t="s">
        <v>576</v>
      </c>
      <c r="AK12" s="7" t="s">
        <v>581</v>
      </c>
      <c r="AL12" s="20">
        <v>1084</v>
      </c>
      <c r="AM12" s="20"/>
      <c r="AN12" s="20" t="s">
        <v>593</v>
      </c>
      <c r="AO12" s="20"/>
      <c r="AP12" s="20"/>
      <c r="AQ12" s="20"/>
      <c r="AR12" s="20"/>
      <c r="AS12" s="20"/>
      <c r="AT12" s="20"/>
      <c r="AU12" s="20"/>
      <c r="AV12" s="20"/>
      <c r="AW12" s="15">
        <v>45412</v>
      </c>
      <c r="AX12" s="7">
        <v>2587</v>
      </c>
      <c r="BA12" s="77">
        <v>1084</v>
      </c>
      <c r="BB12" s="20"/>
      <c r="BD12" s="7"/>
      <c r="CS12" s="9">
        <f t="shared" si="0"/>
        <v>1084</v>
      </c>
      <c r="CT12" s="20">
        <f t="shared" si="1"/>
        <v>1084</v>
      </c>
      <c r="CU12" s="20">
        <f t="shared" si="2"/>
        <v>0</v>
      </c>
      <c r="CV12" s="24">
        <f t="shared" si="3"/>
        <v>0</v>
      </c>
    </row>
    <row r="13" spans="1:100" x14ac:dyDescent="0.2">
      <c r="A13" s="7" t="s">
        <v>42</v>
      </c>
      <c r="B13" s="1">
        <v>102</v>
      </c>
      <c r="C13" s="2" t="s">
        <v>36</v>
      </c>
      <c r="D13" s="2" t="s">
        <v>37</v>
      </c>
      <c r="E13" s="1"/>
      <c r="F13" s="1"/>
      <c r="G13" s="1" t="s">
        <v>24</v>
      </c>
      <c r="H13" s="1">
        <v>7</v>
      </c>
      <c r="I13" s="18">
        <v>130.63999999999999</v>
      </c>
      <c r="J13" s="18">
        <v>38900</v>
      </c>
      <c r="K13" s="2">
        <v>0</v>
      </c>
      <c r="L13" s="2" t="s">
        <v>3</v>
      </c>
      <c r="M13" s="3" t="s">
        <v>16</v>
      </c>
      <c r="N13" s="4" t="s">
        <v>4</v>
      </c>
      <c r="O13" s="7" t="s">
        <v>39</v>
      </c>
      <c r="W13" s="8" t="s">
        <v>196</v>
      </c>
      <c r="X13" s="16">
        <v>45127</v>
      </c>
      <c r="Y13" s="17">
        <v>45142</v>
      </c>
      <c r="Z13" s="17" t="s">
        <v>201</v>
      </c>
      <c r="AA13" s="49">
        <v>32000</v>
      </c>
      <c r="AB13" s="19" t="s">
        <v>49</v>
      </c>
      <c r="AC13" s="4" t="s">
        <v>59</v>
      </c>
      <c r="AD13" s="31">
        <v>45442</v>
      </c>
      <c r="AE13" s="50">
        <v>1084</v>
      </c>
      <c r="AF13" s="50"/>
      <c r="AG13" s="7" t="s">
        <v>72</v>
      </c>
      <c r="AH13" s="15">
        <v>45453</v>
      </c>
      <c r="AI13" s="28" t="s">
        <v>575</v>
      </c>
      <c r="AJ13" s="7" t="s">
        <v>576</v>
      </c>
      <c r="AK13" s="7" t="s">
        <v>582</v>
      </c>
      <c r="AL13" s="20">
        <v>1084</v>
      </c>
      <c r="AM13" s="20"/>
      <c r="AN13" s="20" t="s">
        <v>594</v>
      </c>
      <c r="AO13" s="20"/>
      <c r="AP13" s="20"/>
      <c r="AQ13" s="20"/>
      <c r="AR13" s="20"/>
      <c r="AS13" s="20"/>
      <c r="AT13" s="20"/>
      <c r="AU13" s="20"/>
      <c r="AV13" s="20"/>
      <c r="AW13" s="15">
        <v>45449</v>
      </c>
      <c r="AX13" s="7">
        <v>2750</v>
      </c>
      <c r="BA13" s="77">
        <v>1084</v>
      </c>
      <c r="BB13" s="20"/>
      <c r="BD13" s="7"/>
      <c r="CS13" s="9">
        <f t="shared" si="0"/>
        <v>1084</v>
      </c>
      <c r="CT13" s="20">
        <f t="shared" si="1"/>
        <v>1084</v>
      </c>
      <c r="CU13" s="20">
        <f t="shared" si="2"/>
        <v>0</v>
      </c>
      <c r="CV13" s="24">
        <f t="shared" si="3"/>
        <v>0</v>
      </c>
    </row>
    <row r="14" spans="1:100" x14ac:dyDescent="0.2">
      <c r="A14" s="7" t="s">
        <v>42</v>
      </c>
      <c r="B14" s="1">
        <v>102</v>
      </c>
      <c r="C14" s="2" t="s">
        <v>36</v>
      </c>
      <c r="D14" s="2" t="s">
        <v>37</v>
      </c>
      <c r="E14" s="1"/>
      <c r="F14" s="1"/>
      <c r="G14" s="1" t="s">
        <v>24</v>
      </c>
      <c r="H14" s="1">
        <v>7</v>
      </c>
      <c r="I14" s="18">
        <v>130.63999999999999</v>
      </c>
      <c r="J14" s="18">
        <v>38900</v>
      </c>
      <c r="K14" s="2">
        <v>0</v>
      </c>
      <c r="L14" s="2" t="s">
        <v>3</v>
      </c>
      <c r="M14" s="3" t="s">
        <v>16</v>
      </c>
      <c r="N14" s="4" t="s">
        <v>4</v>
      </c>
      <c r="O14" s="7" t="s">
        <v>39</v>
      </c>
      <c r="W14" s="8" t="s">
        <v>196</v>
      </c>
      <c r="X14" s="16">
        <v>45127</v>
      </c>
      <c r="Y14" s="17">
        <v>45142</v>
      </c>
      <c r="Z14" s="17" t="s">
        <v>201</v>
      </c>
      <c r="AA14" s="49">
        <v>32000</v>
      </c>
      <c r="AB14" s="19" t="s">
        <v>49</v>
      </c>
      <c r="AC14" s="4" t="s">
        <v>60</v>
      </c>
      <c r="AD14" s="31">
        <v>45473</v>
      </c>
      <c r="AE14" s="50">
        <v>1084</v>
      </c>
      <c r="AF14" s="50"/>
      <c r="AG14" s="7" t="s">
        <v>72</v>
      </c>
      <c r="AH14" s="15">
        <v>45485</v>
      </c>
      <c r="AI14" s="28" t="s">
        <v>575</v>
      </c>
      <c r="AJ14" s="7" t="s">
        <v>576</v>
      </c>
      <c r="AK14" s="7" t="s">
        <v>583</v>
      </c>
      <c r="AL14" s="20">
        <v>1084</v>
      </c>
      <c r="AM14" s="20"/>
      <c r="AN14" s="20" t="s">
        <v>595</v>
      </c>
      <c r="AO14" s="20"/>
      <c r="AP14" s="20"/>
      <c r="AQ14" s="20"/>
      <c r="AR14" s="20"/>
      <c r="AS14" s="20"/>
      <c r="AT14" s="20"/>
      <c r="AU14" s="20"/>
      <c r="AV14" s="20"/>
      <c r="AW14" s="15">
        <v>45485</v>
      </c>
      <c r="AX14" s="7">
        <v>2899</v>
      </c>
      <c r="BA14" s="77">
        <v>1084</v>
      </c>
      <c r="BB14" s="20"/>
      <c r="BD14" s="7"/>
      <c r="CS14" s="9">
        <f t="shared" si="0"/>
        <v>1084</v>
      </c>
      <c r="CT14" s="20">
        <f t="shared" si="1"/>
        <v>1084</v>
      </c>
      <c r="CU14" s="20">
        <f t="shared" si="2"/>
        <v>0</v>
      </c>
      <c r="CV14" s="24">
        <f t="shared" si="3"/>
        <v>0</v>
      </c>
    </row>
    <row r="15" spans="1:100" ht="12.75" x14ac:dyDescent="0.2">
      <c r="A15" s="7" t="s">
        <v>42</v>
      </c>
      <c r="B15" s="1">
        <v>102</v>
      </c>
      <c r="C15" s="2" t="s">
        <v>36</v>
      </c>
      <c r="D15" s="2" t="s">
        <v>37</v>
      </c>
      <c r="E15" s="1"/>
      <c r="F15" s="1"/>
      <c r="G15" s="1" t="s">
        <v>24</v>
      </c>
      <c r="H15" s="1">
        <v>7</v>
      </c>
      <c r="I15" s="18">
        <v>130.63999999999999</v>
      </c>
      <c r="J15" s="18">
        <v>38900</v>
      </c>
      <c r="K15" s="2">
        <v>0</v>
      </c>
      <c r="L15" s="2" t="s">
        <v>3</v>
      </c>
      <c r="M15" s="3" t="s">
        <v>16</v>
      </c>
      <c r="N15" s="4" t="s">
        <v>4</v>
      </c>
      <c r="O15" s="7" t="s">
        <v>39</v>
      </c>
      <c r="W15" s="8" t="s">
        <v>196</v>
      </c>
      <c r="X15" s="16">
        <v>45127</v>
      </c>
      <c r="Y15" s="17">
        <v>45142</v>
      </c>
      <c r="Z15" s="17" t="s">
        <v>201</v>
      </c>
      <c r="AA15" s="49">
        <v>32000</v>
      </c>
      <c r="AB15" s="19" t="s">
        <v>49</v>
      </c>
      <c r="AC15" s="4" t="s">
        <v>61</v>
      </c>
      <c r="AD15" s="31">
        <v>45503</v>
      </c>
      <c r="AE15" s="50">
        <v>1084</v>
      </c>
      <c r="AF15" s="50"/>
      <c r="AG15" s="7" t="s">
        <v>72</v>
      </c>
      <c r="AH15" s="15">
        <v>45505</v>
      </c>
      <c r="AI15" s="28" t="s">
        <v>575</v>
      </c>
      <c r="AJ15" s="7" t="s">
        <v>576</v>
      </c>
      <c r="AK15" s="7" t="s">
        <v>584</v>
      </c>
      <c r="AL15" s="20">
        <v>1084</v>
      </c>
      <c r="AM15" s="20"/>
      <c r="AN15" s="20" t="s">
        <v>596</v>
      </c>
      <c r="AO15" s="20"/>
      <c r="AP15" s="20"/>
      <c r="AQ15" s="20"/>
      <c r="AR15" s="20"/>
      <c r="AS15" s="20"/>
      <c r="AT15" s="20"/>
      <c r="AU15" s="20"/>
      <c r="AV15" s="20"/>
      <c r="AW15" s="80">
        <v>45505</v>
      </c>
      <c r="AX15" s="81">
        <v>2971</v>
      </c>
      <c r="BA15" s="77">
        <v>1084</v>
      </c>
      <c r="BB15" s="20"/>
      <c r="BD15" s="7"/>
      <c r="CS15" s="9">
        <f t="shared" si="0"/>
        <v>1084</v>
      </c>
      <c r="CT15" s="20">
        <f t="shared" si="1"/>
        <v>1084</v>
      </c>
      <c r="CU15" s="20">
        <f t="shared" si="2"/>
        <v>0</v>
      </c>
      <c r="CV15" s="24">
        <f t="shared" si="3"/>
        <v>0</v>
      </c>
    </row>
    <row r="16" spans="1:100" x14ac:dyDescent="0.2">
      <c r="A16" s="7" t="s">
        <v>42</v>
      </c>
      <c r="B16" s="1">
        <v>102</v>
      </c>
      <c r="C16" s="2" t="s">
        <v>36</v>
      </c>
      <c r="D16" s="2" t="s">
        <v>37</v>
      </c>
      <c r="E16" s="1"/>
      <c r="F16" s="1"/>
      <c r="G16" s="1" t="s">
        <v>24</v>
      </c>
      <c r="H16" s="1">
        <v>7</v>
      </c>
      <c r="I16" s="18">
        <v>130.63999999999999</v>
      </c>
      <c r="J16" s="18">
        <v>38900</v>
      </c>
      <c r="K16" s="2">
        <v>0</v>
      </c>
      <c r="L16" s="2" t="s">
        <v>3</v>
      </c>
      <c r="M16" s="3" t="s">
        <v>16</v>
      </c>
      <c r="N16" s="4" t="s">
        <v>4</v>
      </c>
      <c r="O16" s="7" t="s">
        <v>39</v>
      </c>
      <c r="W16" s="8" t="s">
        <v>196</v>
      </c>
      <c r="X16" s="16">
        <v>45127</v>
      </c>
      <c r="Y16" s="17">
        <v>45142</v>
      </c>
      <c r="Z16" s="17" t="s">
        <v>201</v>
      </c>
      <c r="AA16" s="49">
        <v>32000</v>
      </c>
      <c r="AB16" s="19" t="s">
        <v>49</v>
      </c>
      <c r="AC16" s="4" t="s">
        <v>62</v>
      </c>
      <c r="AD16" s="31">
        <v>45534</v>
      </c>
      <c r="AE16" s="50">
        <v>1084</v>
      </c>
      <c r="AF16" s="50"/>
      <c r="AG16" s="7" t="s">
        <v>72</v>
      </c>
      <c r="AH16" s="15">
        <v>45559</v>
      </c>
      <c r="AI16" s="28" t="s">
        <v>575</v>
      </c>
      <c r="AJ16" s="7" t="s">
        <v>576</v>
      </c>
      <c r="AK16" s="7" t="s">
        <v>585</v>
      </c>
      <c r="AL16" s="20">
        <v>1084</v>
      </c>
      <c r="AM16" s="20"/>
      <c r="AN16" s="20" t="s">
        <v>597</v>
      </c>
      <c r="AO16" s="20"/>
      <c r="AP16" s="20"/>
      <c r="AQ16" s="20"/>
      <c r="AR16" s="20"/>
      <c r="AS16" s="20"/>
      <c r="AT16" s="20"/>
      <c r="AU16" s="20"/>
      <c r="AV16" s="20"/>
      <c r="AW16" s="15">
        <v>45548</v>
      </c>
      <c r="AX16" s="7">
        <v>3155</v>
      </c>
      <c r="BA16" s="77">
        <v>1084</v>
      </c>
      <c r="BB16" s="20"/>
      <c r="BD16" s="7"/>
      <c r="CS16" s="9">
        <f t="shared" si="0"/>
        <v>1084</v>
      </c>
      <c r="CT16" s="20">
        <f t="shared" si="1"/>
        <v>1084</v>
      </c>
      <c r="CU16" s="20">
        <f t="shared" si="2"/>
        <v>0</v>
      </c>
      <c r="CV16" s="24">
        <f t="shared" si="3"/>
        <v>0</v>
      </c>
    </row>
    <row r="17" spans="1:100" ht="12.75" x14ac:dyDescent="0.2">
      <c r="A17" s="7" t="s">
        <v>42</v>
      </c>
      <c r="B17" s="1">
        <v>102</v>
      </c>
      <c r="C17" s="2" t="s">
        <v>36</v>
      </c>
      <c r="D17" s="2" t="s">
        <v>37</v>
      </c>
      <c r="E17" s="1"/>
      <c r="F17" s="1"/>
      <c r="G17" s="1" t="s">
        <v>24</v>
      </c>
      <c r="H17" s="1">
        <v>7</v>
      </c>
      <c r="I17" s="18">
        <v>130.63999999999999</v>
      </c>
      <c r="J17" s="18">
        <v>38900</v>
      </c>
      <c r="K17" s="2">
        <v>0</v>
      </c>
      <c r="L17" s="2" t="s">
        <v>3</v>
      </c>
      <c r="M17" s="3" t="s">
        <v>16</v>
      </c>
      <c r="N17" s="4" t="s">
        <v>4</v>
      </c>
      <c r="O17" s="7" t="s">
        <v>39</v>
      </c>
      <c r="W17" s="8" t="s">
        <v>196</v>
      </c>
      <c r="X17" s="16">
        <v>45127</v>
      </c>
      <c r="Y17" s="17">
        <v>45142</v>
      </c>
      <c r="Z17" s="17" t="s">
        <v>201</v>
      </c>
      <c r="AA17" s="49">
        <v>32000</v>
      </c>
      <c r="AB17" s="19" t="s">
        <v>49</v>
      </c>
      <c r="AC17" s="4" t="s">
        <v>63</v>
      </c>
      <c r="AD17" s="31">
        <v>45565</v>
      </c>
      <c r="AE17" s="50">
        <v>1084</v>
      </c>
      <c r="AF17" s="50"/>
      <c r="AG17" s="7" t="s">
        <v>72</v>
      </c>
      <c r="AH17" s="15">
        <v>45602</v>
      </c>
      <c r="AI17" s="28" t="s">
        <v>575</v>
      </c>
      <c r="AJ17" s="7" t="s">
        <v>576</v>
      </c>
      <c r="AK17" s="7" t="s">
        <v>586</v>
      </c>
      <c r="AL17" s="20">
        <v>1084</v>
      </c>
      <c r="AM17" s="20"/>
      <c r="AN17" s="20" t="s">
        <v>598</v>
      </c>
      <c r="AO17" s="20"/>
      <c r="AP17" s="20"/>
      <c r="AQ17" s="20"/>
      <c r="AR17" s="20"/>
      <c r="AS17" s="20"/>
      <c r="AT17" s="20"/>
      <c r="AU17" s="20"/>
      <c r="AV17" s="20"/>
      <c r="AW17" s="15">
        <v>45576</v>
      </c>
      <c r="AX17" s="7">
        <v>3274</v>
      </c>
      <c r="BA17" s="84">
        <v>724</v>
      </c>
      <c r="BB17" s="20"/>
      <c r="BC17" s="15">
        <v>45601</v>
      </c>
      <c r="BD17" s="7">
        <v>3373</v>
      </c>
      <c r="BG17" s="84">
        <v>360</v>
      </c>
      <c r="CS17" s="9">
        <f t="shared" si="0"/>
        <v>1084</v>
      </c>
      <c r="CT17" s="20">
        <f t="shared" si="1"/>
        <v>1084</v>
      </c>
      <c r="CU17" s="20">
        <f t="shared" si="2"/>
        <v>0</v>
      </c>
      <c r="CV17" s="24">
        <f t="shared" si="3"/>
        <v>0</v>
      </c>
    </row>
    <row r="18" spans="1:100" x14ac:dyDescent="0.2">
      <c r="A18" s="7" t="s">
        <v>42</v>
      </c>
      <c r="B18" s="1">
        <v>102</v>
      </c>
      <c r="C18" s="2" t="s">
        <v>36</v>
      </c>
      <c r="D18" s="2" t="s">
        <v>37</v>
      </c>
      <c r="E18" s="1"/>
      <c r="F18" s="1"/>
      <c r="G18" s="1" t="s">
        <v>24</v>
      </c>
      <c r="H18" s="1">
        <v>7</v>
      </c>
      <c r="I18" s="18">
        <v>130.63999999999999</v>
      </c>
      <c r="J18" s="18">
        <v>38900</v>
      </c>
      <c r="K18" s="2">
        <v>0</v>
      </c>
      <c r="L18" s="2" t="s">
        <v>3</v>
      </c>
      <c r="M18" s="3" t="s">
        <v>16</v>
      </c>
      <c r="N18" s="4" t="s">
        <v>4</v>
      </c>
      <c r="O18" s="7" t="s">
        <v>39</v>
      </c>
      <c r="W18" s="8" t="s">
        <v>196</v>
      </c>
      <c r="X18" s="16">
        <v>45127</v>
      </c>
      <c r="Y18" s="17">
        <v>45142</v>
      </c>
      <c r="Z18" s="17" t="s">
        <v>201</v>
      </c>
      <c r="AA18" s="49">
        <v>32000</v>
      </c>
      <c r="AB18" s="19" t="s">
        <v>49</v>
      </c>
      <c r="AC18" s="4" t="s">
        <v>64</v>
      </c>
      <c r="AD18" s="31">
        <v>45595</v>
      </c>
      <c r="AE18" s="50">
        <v>1084</v>
      </c>
      <c r="AF18" s="50"/>
      <c r="AG18" s="7" t="s">
        <v>72</v>
      </c>
      <c r="AH18" s="15">
        <v>45609</v>
      </c>
      <c r="AI18" s="28" t="s">
        <v>575</v>
      </c>
      <c r="AJ18" s="7" t="s">
        <v>576</v>
      </c>
      <c r="AK18" s="7" t="s">
        <v>587</v>
      </c>
      <c r="AL18" s="20">
        <v>1084</v>
      </c>
      <c r="AM18" s="20"/>
      <c r="AN18" s="20" t="s">
        <v>599</v>
      </c>
      <c r="AO18" s="20"/>
      <c r="AP18" s="20"/>
      <c r="AQ18" s="20"/>
      <c r="AR18" s="20"/>
      <c r="AS18" s="20"/>
      <c r="AT18" s="20"/>
      <c r="AU18" s="20"/>
      <c r="AV18" s="20"/>
      <c r="AW18" s="15">
        <v>45602</v>
      </c>
      <c r="AX18" s="7">
        <v>3377</v>
      </c>
      <c r="BA18" s="20">
        <v>450</v>
      </c>
      <c r="BB18" s="20"/>
      <c r="BC18" s="15">
        <v>45608</v>
      </c>
      <c r="BD18" s="7">
        <v>3403</v>
      </c>
      <c r="BG18" s="20">
        <v>634</v>
      </c>
      <c r="CS18" s="9">
        <f t="shared" si="0"/>
        <v>1084</v>
      </c>
      <c r="CT18" s="20">
        <f t="shared" si="1"/>
        <v>1084</v>
      </c>
      <c r="CU18" s="20">
        <f t="shared" si="2"/>
        <v>0</v>
      </c>
      <c r="CV18" s="24">
        <f t="shared" si="3"/>
        <v>0</v>
      </c>
    </row>
    <row r="19" spans="1:100" x14ac:dyDescent="0.2">
      <c r="A19" s="7" t="s">
        <v>42</v>
      </c>
      <c r="B19" s="1">
        <v>102</v>
      </c>
      <c r="C19" s="2" t="s">
        <v>36</v>
      </c>
      <c r="D19" s="2" t="s">
        <v>37</v>
      </c>
      <c r="E19" s="1"/>
      <c r="F19" s="1"/>
      <c r="G19" s="1" t="s">
        <v>24</v>
      </c>
      <c r="H19" s="1">
        <v>7</v>
      </c>
      <c r="I19" s="18">
        <v>130.63999999999999</v>
      </c>
      <c r="J19" s="18">
        <v>38900</v>
      </c>
      <c r="K19" s="2">
        <v>0</v>
      </c>
      <c r="L19" s="2" t="s">
        <v>3</v>
      </c>
      <c r="M19" s="3" t="s">
        <v>16</v>
      </c>
      <c r="N19" s="4" t="s">
        <v>4</v>
      </c>
      <c r="O19" s="7" t="s">
        <v>39</v>
      </c>
      <c r="W19" s="8" t="s">
        <v>196</v>
      </c>
      <c r="X19" s="16">
        <v>45127</v>
      </c>
      <c r="Y19" s="17">
        <v>45142</v>
      </c>
      <c r="Z19" s="17" t="s">
        <v>201</v>
      </c>
      <c r="AA19" s="49">
        <v>32000</v>
      </c>
      <c r="AB19" s="19" t="s">
        <v>49</v>
      </c>
      <c r="AC19" s="4" t="s">
        <v>65</v>
      </c>
      <c r="AD19" s="31">
        <v>45626</v>
      </c>
      <c r="AE19" s="50">
        <v>1084</v>
      </c>
      <c r="AF19" s="50"/>
      <c r="AG19" s="7" t="s">
        <v>72</v>
      </c>
      <c r="AH19" s="15">
        <v>45631</v>
      </c>
      <c r="AI19" s="28" t="s">
        <v>575</v>
      </c>
      <c r="AJ19" s="7" t="s">
        <v>576</v>
      </c>
      <c r="AK19" s="7" t="s">
        <v>588</v>
      </c>
      <c r="AL19" s="20">
        <v>1084</v>
      </c>
      <c r="AM19" s="20"/>
      <c r="AN19" s="20" t="s">
        <v>600</v>
      </c>
      <c r="AO19" s="20"/>
      <c r="AP19" s="20"/>
      <c r="AQ19" s="20"/>
      <c r="AR19" s="20"/>
      <c r="AS19" s="20"/>
      <c r="AT19" s="20"/>
      <c r="AU19" s="20"/>
      <c r="AV19" s="20"/>
      <c r="AW19" s="15">
        <v>45630</v>
      </c>
      <c r="AX19" s="7">
        <v>3480</v>
      </c>
      <c r="BA19" s="77">
        <v>1084</v>
      </c>
      <c r="BB19" s="20"/>
      <c r="BD19" s="7"/>
      <c r="CS19" s="9">
        <f t="shared" si="0"/>
        <v>1084</v>
      </c>
      <c r="CT19" s="20">
        <f t="shared" si="1"/>
        <v>1084</v>
      </c>
      <c r="CU19" s="20">
        <f t="shared" si="2"/>
        <v>0</v>
      </c>
      <c r="CV19" s="24">
        <f t="shared" si="3"/>
        <v>0</v>
      </c>
    </row>
    <row r="20" spans="1:100" x14ac:dyDescent="0.2">
      <c r="A20" s="7" t="s">
        <v>42</v>
      </c>
      <c r="B20" s="1">
        <v>102</v>
      </c>
      <c r="C20" s="2" t="s">
        <v>36</v>
      </c>
      <c r="D20" s="2" t="s">
        <v>37</v>
      </c>
      <c r="E20" s="1"/>
      <c r="F20" s="1"/>
      <c r="G20" s="1" t="s">
        <v>24</v>
      </c>
      <c r="H20" s="1">
        <v>7</v>
      </c>
      <c r="I20" s="18">
        <v>130.63999999999999</v>
      </c>
      <c r="J20" s="18">
        <v>38900</v>
      </c>
      <c r="K20" s="2">
        <v>0</v>
      </c>
      <c r="L20" s="2" t="s">
        <v>3</v>
      </c>
      <c r="M20" s="3" t="s">
        <v>16</v>
      </c>
      <c r="N20" s="4" t="s">
        <v>4</v>
      </c>
      <c r="O20" s="7" t="s">
        <v>39</v>
      </c>
      <c r="W20" s="8" t="s">
        <v>196</v>
      </c>
      <c r="X20" s="16">
        <v>45127</v>
      </c>
      <c r="Y20" s="17">
        <v>45142</v>
      </c>
      <c r="Z20" s="17" t="s">
        <v>201</v>
      </c>
      <c r="AA20" s="49">
        <v>32000</v>
      </c>
      <c r="AB20" s="19" t="s">
        <v>49</v>
      </c>
      <c r="AC20" s="4" t="s">
        <v>66</v>
      </c>
      <c r="AD20" s="31">
        <v>45656</v>
      </c>
      <c r="AE20" s="50">
        <v>1084</v>
      </c>
      <c r="AF20" s="50"/>
      <c r="AG20" s="7" t="s">
        <v>72</v>
      </c>
      <c r="AH20" s="15">
        <v>45661</v>
      </c>
      <c r="AI20" s="28" t="s">
        <v>575</v>
      </c>
      <c r="AJ20" s="7" t="s">
        <v>576</v>
      </c>
      <c r="AK20" s="7" t="s">
        <v>601</v>
      </c>
      <c r="AL20" s="20">
        <v>1084</v>
      </c>
      <c r="AM20" s="20"/>
      <c r="AN20" s="20" t="s">
        <v>608</v>
      </c>
      <c r="AO20" s="20"/>
      <c r="AP20" s="20"/>
      <c r="AQ20" s="20"/>
      <c r="AR20" s="20"/>
      <c r="AS20" s="20"/>
      <c r="AT20" s="20"/>
      <c r="AU20" s="20"/>
      <c r="AV20" s="20"/>
      <c r="AW20" s="15">
        <v>45660</v>
      </c>
      <c r="AX20" s="7">
        <v>3571</v>
      </c>
      <c r="BA20" s="77">
        <v>1084</v>
      </c>
      <c r="BB20" s="20"/>
      <c r="BD20" s="7"/>
      <c r="CS20" s="9">
        <f t="shared" si="0"/>
        <v>1084</v>
      </c>
      <c r="CT20" s="20">
        <f t="shared" si="1"/>
        <v>1084</v>
      </c>
      <c r="CU20" s="20">
        <f t="shared" si="2"/>
        <v>0</v>
      </c>
      <c r="CV20" s="24">
        <f t="shared" si="3"/>
        <v>0</v>
      </c>
    </row>
    <row r="21" spans="1:100" ht="12.75" x14ac:dyDescent="0.2">
      <c r="A21" s="7" t="s">
        <v>42</v>
      </c>
      <c r="B21" s="1">
        <v>102</v>
      </c>
      <c r="C21" s="2" t="s">
        <v>36</v>
      </c>
      <c r="D21" s="2" t="s">
        <v>37</v>
      </c>
      <c r="E21" s="1"/>
      <c r="F21" s="1"/>
      <c r="G21" s="1" t="s">
        <v>24</v>
      </c>
      <c r="H21" s="1">
        <v>7</v>
      </c>
      <c r="I21" s="18">
        <v>130.63999999999999</v>
      </c>
      <c r="J21" s="18">
        <v>38900</v>
      </c>
      <c r="K21" s="2">
        <v>0</v>
      </c>
      <c r="L21" s="2" t="s">
        <v>3</v>
      </c>
      <c r="M21" s="3" t="s">
        <v>16</v>
      </c>
      <c r="N21" s="4" t="s">
        <v>4</v>
      </c>
      <c r="O21" s="7" t="s">
        <v>39</v>
      </c>
      <c r="W21" s="8" t="s">
        <v>196</v>
      </c>
      <c r="X21" s="16">
        <v>45127</v>
      </c>
      <c r="Y21" s="17">
        <v>45142</v>
      </c>
      <c r="Z21" s="17" t="s">
        <v>201</v>
      </c>
      <c r="AA21" s="49">
        <v>32000</v>
      </c>
      <c r="AB21" s="19" t="s">
        <v>49</v>
      </c>
      <c r="AC21" s="4" t="s">
        <v>67</v>
      </c>
      <c r="AD21" s="31">
        <v>45687</v>
      </c>
      <c r="AE21" s="50">
        <v>1084</v>
      </c>
      <c r="AF21" s="50"/>
      <c r="AG21" s="7" t="s">
        <v>72</v>
      </c>
      <c r="AH21" s="15">
        <v>45719</v>
      </c>
      <c r="AI21" s="28" t="s">
        <v>575</v>
      </c>
      <c r="AJ21" s="7" t="s">
        <v>576</v>
      </c>
      <c r="AK21" s="7" t="s">
        <v>602</v>
      </c>
      <c r="AL21" s="20">
        <v>300</v>
      </c>
      <c r="AM21" s="20"/>
      <c r="AN21" s="20" t="s">
        <v>609</v>
      </c>
      <c r="AO21" s="20" t="s">
        <v>72</v>
      </c>
      <c r="AP21" s="15">
        <v>45744</v>
      </c>
      <c r="AQ21" s="28" t="s">
        <v>575</v>
      </c>
      <c r="AR21" s="7" t="s">
        <v>576</v>
      </c>
      <c r="AS21" s="7" t="s">
        <v>603</v>
      </c>
      <c r="AT21" s="20">
        <v>784</v>
      </c>
      <c r="AU21" s="20"/>
      <c r="AV21" s="20" t="s">
        <v>610</v>
      </c>
      <c r="AW21" s="15">
        <v>45713</v>
      </c>
      <c r="AX21" s="7">
        <v>3792</v>
      </c>
      <c r="BA21" s="20">
        <v>300</v>
      </c>
      <c r="BB21" s="20"/>
      <c r="BC21" s="80">
        <v>45744</v>
      </c>
      <c r="BD21" s="81">
        <v>3936</v>
      </c>
      <c r="BG21" s="20">
        <v>784</v>
      </c>
      <c r="CS21" s="9">
        <f t="shared" si="0"/>
        <v>1084</v>
      </c>
      <c r="CT21" s="20">
        <f t="shared" si="1"/>
        <v>1084</v>
      </c>
      <c r="CU21" s="20">
        <f t="shared" si="2"/>
        <v>0</v>
      </c>
      <c r="CV21" s="24">
        <f t="shared" si="3"/>
        <v>0</v>
      </c>
    </row>
    <row r="22" spans="1:100" ht="12.75" x14ac:dyDescent="0.2">
      <c r="A22" s="7" t="s">
        <v>42</v>
      </c>
      <c r="B22" s="1">
        <v>102</v>
      </c>
      <c r="C22" s="2" t="s">
        <v>36</v>
      </c>
      <c r="D22" s="2" t="s">
        <v>37</v>
      </c>
      <c r="E22" s="1"/>
      <c r="F22" s="1"/>
      <c r="G22" s="1" t="s">
        <v>24</v>
      </c>
      <c r="H22" s="1">
        <v>7</v>
      </c>
      <c r="I22" s="18">
        <v>130.63999999999999</v>
      </c>
      <c r="J22" s="18">
        <v>38900</v>
      </c>
      <c r="K22" s="2">
        <v>0</v>
      </c>
      <c r="L22" s="2" t="s">
        <v>3</v>
      </c>
      <c r="M22" s="3" t="s">
        <v>16</v>
      </c>
      <c r="N22" s="4" t="s">
        <v>4</v>
      </c>
      <c r="O22" s="7" t="s">
        <v>39</v>
      </c>
      <c r="W22" s="8" t="s">
        <v>196</v>
      </c>
      <c r="X22" s="16">
        <v>45127</v>
      </c>
      <c r="Y22" s="17">
        <v>45142</v>
      </c>
      <c r="Z22" s="17" t="s">
        <v>201</v>
      </c>
      <c r="AA22" s="49">
        <v>32000</v>
      </c>
      <c r="AB22" s="19" t="s">
        <v>49</v>
      </c>
      <c r="AC22" s="4" t="s">
        <v>68</v>
      </c>
      <c r="AD22" s="31">
        <v>45716</v>
      </c>
      <c r="AE22" s="50">
        <v>1084</v>
      </c>
      <c r="AF22" s="50"/>
      <c r="AG22" s="7" t="s">
        <v>72</v>
      </c>
      <c r="AH22" s="15">
        <v>45786</v>
      </c>
      <c r="AI22" s="28" t="s">
        <v>575</v>
      </c>
      <c r="AJ22" s="7" t="s">
        <v>576</v>
      </c>
      <c r="AK22" s="7" t="s">
        <v>604</v>
      </c>
      <c r="AL22" s="20">
        <v>1084</v>
      </c>
      <c r="AM22" s="20"/>
      <c r="AN22" s="20" t="s">
        <v>611</v>
      </c>
      <c r="AO22" s="20"/>
      <c r="AP22" s="20"/>
      <c r="AQ22" s="20"/>
      <c r="AR22" s="20"/>
      <c r="AS22" s="20"/>
      <c r="AT22" s="20"/>
      <c r="AU22" s="20"/>
      <c r="AV22" s="20"/>
      <c r="AW22" s="80">
        <v>45785</v>
      </c>
      <c r="AX22" s="81">
        <v>4140</v>
      </c>
      <c r="BA22" s="77">
        <v>1084</v>
      </c>
      <c r="BB22" s="20"/>
      <c r="BD22" s="7"/>
      <c r="CS22" s="9">
        <f t="shared" si="0"/>
        <v>1084</v>
      </c>
      <c r="CT22" s="20">
        <f t="shared" si="1"/>
        <v>1084</v>
      </c>
      <c r="CU22" s="20">
        <f t="shared" si="2"/>
        <v>0</v>
      </c>
      <c r="CV22" s="24">
        <f t="shared" si="3"/>
        <v>0</v>
      </c>
    </row>
    <row r="23" spans="1:100" x14ac:dyDescent="0.2">
      <c r="A23" s="7" t="s">
        <v>42</v>
      </c>
      <c r="B23" s="1">
        <v>102</v>
      </c>
      <c r="C23" s="2" t="s">
        <v>36</v>
      </c>
      <c r="D23" s="2" t="s">
        <v>37</v>
      </c>
      <c r="E23" s="1"/>
      <c r="F23" s="1"/>
      <c r="G23" s="1" t="s">
        <v>24</v>
      </c>
      <c r="H23" s="1">
        <v>7</v>
      </c>
      <c r="I23" s="18">
        <v>130.63999999999999</v>
      </c>
      <c r="J23" s="18">
        <v>38900</v>
      </c>
      <c r="K23" s="2">
        <v>0</v>
      </c>
      <c r="L23" s="2" t="s">
        <v>3</v>
      </c>
      <c r="M23" s="3" t="s">
        <v>16</v>
      </c>
      <c r="N23" s="4" t="s">
        <v>4</v>
      </c>
      <c r="O23" s="7" t="s">
        <v>39</v>
      </c>
      <c r="W23" s="8" t="s">
        <v>196</v>
      </c>
      <c r="X23" s="16">
        <v>45127</v>
      </c>
      <c r="Y23" s="17">
        <v>45142</v>
      </c>
      <c r="Z23" s="17" t="s">
        <v>201</v>
      </c>
      <c r="AA23" s="49">
        <v>32000</v>
      </c>
      <c r="AB23" s="19" t="s">
        <v>49</v>
      </c>
      <c r="AC23" s="4" t="s">
        <v>69</v>
      </c>
      <c r="AD23" s="31">
        <v>45746</v>
      </c>
      <c r="AE23" s="50">
        <v>1084</v>
      </c>
      <c r="AF23" s="50"/>
      <c r="AG23" s="7" t="s">
        <v>72</v>
      </c>
      <c r="AH23" s="15">
        <v>45821</v>
      </c>
      <c r="AI23" s="28" t="s">
        <v>575</v>
      </c>
      <c r="AJ23" s="7" t="s">
        <v>576</v>
      </c>
      <c r="AK23" s="7" t="s">
        <v>605</v>
      </c>
      <c r="AL23" s="20">
        <v>1084</v>
      </c>
      <c r="AM23" s="20"/>
      <c r="AN23" s="20" t="s">
        <v>612</v>
      </c>
      <c r="AO23" s="20"/>
      <c r="AP23" s="20"/>
      <c r="AQ23" s="20"/>
      <c r="AR23" s="20"/>
      <c r="AS23" s="20"/>
      <c r="AT23" s="20"/>
      <c r="AU23" s="20"/>
      <c r="AV23" s="20"/>
      <c r="AW23" s="15">
        <v>45807</v>
      </c>
      <c r="AX23" s="7">
        <v>4243</v>
      </c>
      <c r="BA23" s="20">
        <v>1000</v>
      </c>
      <c r="BB23" s="20"/>
      <c r="BC23" s="15">
        <v>45819</v>
      </c>
      <c r="BD23" s="7">
        <v>4287</v>
      </c>
      <c r="BG23" s="20">
        <v>84</v>
      </c>
      <c r="CS23" s="9">
        <f t="shared" ref="CS23:CS27" si="4">+AL23+AT23</f>
        <v>1084</v>
      </c>
      <c r="CT23" s="20">
        <f t="shared" ref="CT23:CT27" si="5">+BA23+BG23+BM23+BS23+BY23+CE23+CK23+CQ23</f>
        <v>1084</v>
      </c>
      <c r="CU23" s="20">
        <f t="shared" ref="CU23:CU27" si="6">+CS23-CT23</f>
        <v>0</v>
      </c>
      <c r="CV23" s="24">
        <f t="shared" ref="CV23:CV27" si="7">+AE23-AL23-AT23</f>
        <v>0</v>
      </c>
    </row>
    <row r="24" spans="1:100" x14ac:dyDescent="0.2">
      <c r="A24" s="7" t="s">
        <v>42</v>
      </c>
      <c r="B24" s="1">
        <v>102</v>
      </c>
      <c r="C24" s="2" t="s">
        <v>36</v>
      </c>
      <c r="D24" s="2" t="s">
        <v>37</v>
      </c>
      <c r="E24" s="1"/>
      <c r="F24" s="1"/>
      <c r="G24" s="1" t="s">
        <v>24</v>
      </c>
      <c r="H24" s="1">
        <v>7</v>
      </c>
      <c r="I24" s="18">
        <v>130.63999999999999</v>
      </c>
      <c r="J24" s="18">
        <v>38900</v>
      </c>
      <c r="K24" s="2">
        <v>0</v>
      </c>
      <c r="L24" s="2" t="s">
        <v>3</v>
      </c>
      <c r="M24" s="3" t="s">
        <v>16</v>
      </c>
      <c r="N24" s="4" t="s">
        <v>4</v>
      </c>
      <c r="O24" s="7" t="s">
        <v>39</v>
      </c>
      <c r="W24" s="8" t="s">
        <v>196</v>
      </c>
      <c r="X24" s="16">
        <v>45127</v>
      </c>
      <c r="Y24" s="17">
        <v>45142</v>
      </c>
      <c r="Z24" s="17" t="s">
        <v>201</v>
      </c>
      <c r="AA24" s="49">
        <v>32000</v>
      </c>
      <c r="AB24" s="19" t="s">
        <v>49</v>
      </c>
      <c r="AC24" s="4" t="s">
        <v>877</v>
      </c>
      <c r="AD24" s="31">
        <v>45777</v>
      </c>
      <c r="AE24" s="50">
        <v>1084</v>
      </c>
      <c r="AF24" s="50"/>
      <c r="AG24" s="7" t="s">
        <v>72</v>
      </c>
      <c r="AH24" s="15">
        <v>45890</v>
      </c>
      <c r="AI24" s="28" t="s">
        <v>575</v>
      </c>
      <c r="AJ24" s="7" t="s">
        <v>576</v>
      </c>
      <c r="AK24" s="7" t="s">
        <v>606</v>
      </c>
      <c r="AL24" s="20">
        <v>400</v>
      </c>
      <c r="AM24" s="20"/>
      <c r="AN24" s="20" t="s">
        <v>613</v>
      </c>
      <c r="AO24" s="7" t="s">
        <v>72</v>
      </c>
      <c r="AP24" s="15">
        <v>45904</v>
      </c>
      <c r="AQ24" s="28" t="s">
        <v>575</v>
      </c>
      <c r="AR24" s="7" t="s">
        <v>576</v>
      </c>
      <c r="AS24" s="7" t="s">
        <v>607</v>
      </c>
      <c r="AT24" s="20">
        <v>400</v>
      </c>
      <c r="AU24" s="20"/>
      <c r="AV24" s="20" t="s">
        <v>614</v>
      </c>
      <c r="AW24" s="15">
        <v>45889</v>
      </c>
      <c r="AX24" s="7">
        <v>4606</v>
      </c>
      <c r="BA24" s="20">
        <v>400</v>
      </c>
      <c r="BB24" s="20"/>
      <c r="BC24" s="15">
        <v>45904</v>
      </c>
      <c r="BD24" s="7">
        <v>4667</v>
      </c>
      <c r="BG24" s="20">
        <v>400</v>
      </c>
      <c r="CS24" s="9">
        <f t="shared" si="4"/>
        <v>800</v>
      </c>
      <c r="CT24" s="20">
        <f t="shared" si="5"/>
        <v>800</v>
      </c>
      <c r="CU24" s="20">
        <f t="shared" si="6"/>
        <v>0</v>
      </c>
      <c r="CV24" s="24">
        <f t="shared" si="7"/>
        <v>284</v>
      </c>
    </row>
    <row r="25" spans="1:100" x14ac:dyDescent="0.2">
      <c r="A25" s="7" t="s">
        <v>42</v>
      </c>
      <c r="B25" s="1">
        <v>102</v>
      </c>
      <c r="C25" s="2" t="s">
        <v>36</v>
      </c>
      <c r="D25" s="2" t="s">
        <v>37</v>
      </c>
      <c r="E25" s="1"/>
      <c r="F25" s="1"/>
      <c r="G25" s="1" t="s">
        <v>24</v>
      </c>
      <c r="H25" s="1">
        <v>7</v>
      </c>
      <c r="I25" s="18">
        <v>130.63999999999999</v>
      </c>
      <c r="J25" s="18">
        <v>38900</v>
      </c>
      <c r="K25" s="2">
        <v>0</v>
      </c>
      <c r="L25" s="2" t="s">
        <v>3</v>
      </c>
      <c r="M25" s="3" t="s">
        <v>16</v>
      </c>
      <c r="N25" s="4" t="s">
        <v>4</v>
      </c>
      <c r="O25" s="7" t="s">
        <v>39</v>
      </c>
      <c r="W25" s="8" t="s">
        <v>196</v>
      </c>
      <c r="X25" s="16">
        <v>45127</v>
      </c>
      <c r="Y25" s="17">
        <v>45142</v>
      </c>
      <c r="Z25" s="17" t="s">
        <v>201</v>
      </c>
      <c r="AA25" s="49">
        <v>32000</v>
      </c>
      <c r="AB25" s="19" t="s">
        <v>49</v>
      </c>
      <c r="AC25" s="4" t="s">
        <v>878</v>
      </c>
      <c r="AD25" s="31">
        <v>45807</v>
      </c>
      <c r="AE25" s="50">
        <v>1084</v>
      </c>
      <c r="AF25" s="50"/>
      <c r="AL25" s="7"/>
      <c r="AM25" s="7"/>
      <c r="AN25" s="7"/>
      <c r="AO25" s="20"/>
      <c r="AP25" s="20"/>
      <c r="AQ25" s="20"/>
      <c r="AR25" s="20"/>
      <c r="AS25" s="20"/>
      <c r="AT25" s="20"/>
      <c r="AU25" s="20"/>
      <c r="AV25" s="20"/>
      <c r="AW25" s="7"/>
      <c r="BA25" s="7"/>
      <c r="BB25" s="20"/>
      <c r="BD25" s="7"/>
      <c r="CS25" s="9">
        <f t="shared" si="4"/>
        <v>0</v>
      </c>
      <c r="CT25" s="20">
        <f t="shared" si="5"/>
        <v>0</v>
      </c>
      <c r="CU25" s="20">
        <f t="shared" si="6"/>
        <v>0</v>
      </c>
      <c r="CV25" s="24">
        <f t="shared" si="7"/>
        <v>1084</v>
      </c>
    </row>
    <row r="26" spans="1:100" x14ac:dyDescent="0.2">
      <c r="A26" s="7" t="s">
        <v>42</v>
      </c>
      <c r="B26" s="1">
        <v>102</v>
      </c>
      <c r="C26" s="2" t="s">
        <v>36</v>
      </c>
      <c r="D26" s="2" t="s">
        <v>37</v>
      </c>
      <c r="E26" s="1"/>
      <c r="F26" s="1"/>
      <c r="G26" s="1" t="s">
        <v>24</v>
      </c>
      <c r="H26" s="1">
        <v>7</v>
      </c>
      <c r="I26" s="18">
        <v>130.63999999999999</v>
      </c>
      <c r="J26" s="18">
        <v>38900</v>
      </c>
      <c r="K26" s="2">
        <v>0</v>
      </c>
      <c r="L26" s="2" t="s">
        <v>3</v>
      </c>
      <c r="M26" s="3" t="s">
        <v>16</v>
      </c>
      <c r="N26" s="4" t="s">
        <v>4</v>
      </c>
      <c r="O26" s="7" t="s">
        <v>39</v>
      </c>
      <c r="W26" s="8" t="s">
        <v>196</v>
      </c>
      <c r="X26" s="16">
        <v>45127</v>
      </c>
      <c r="Y26" s="17">
        <v>45142</v>
      </c>
      <c r="Z26" s="17" t="s">
        <v>201</v>
      </c>
      <c r="AA26" s="49">
        <v>32000</v>
      </c>
      <c r="AB26" s="19" t="s">
        <v>49</v>
      </c>
      <c r="AC26" s="4" t="s">
        <v>879</v>
      </c>
      <c r="AD26" s="31">
        <v>45838</v>
      </c>
      <c r="AE26" s="50">
        <v>1084</v>
      </c>
      <c r="AF26" s="50"/>
      <c r="AH26" s="15"/>
      <c r="AI26" s="28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7"/>
      <c r="BA26" s="20"/>
      <c r="BB26" s="20"/>
      <c r="BD26" s="7"/>
      <c r="CS26" s="9">
        <f t="shared" si="4"/>
        <v>0</v>
      </c>
      <c r="CT26" s="20">
        <f t="shared" si="5"/>
        <v>0</v>
      </c>
      <c r="CU26" s="20">
        <f t="shared" si="6"/>
        <v>0</v>
      </c>
      <c r="CV26" s="24">
        <f t="shared" si="7"/>
        <v>1084</v>
      </c>
    </row>
    <row r="27" spans="1:100" x14ac:dyDescent="0.2">
      <c r="A27" s="7" t="s">
        <v>42</v>
      </c>
      <c r="B27" s="1">
        <v>102</v>
      </c>
      <c r="C27" s="2" t="s">
        <v>36</v>
      </c>
      <c r="D27" s="2" t="s">
        <v>37</v>
      </c>
      <c r="E27" s="1"/>
      <c r="F27" s="1"/>
      <c r="G27" s="1" t="s">
        <v>24</v>
      </c>
      <c r="H27" s="1">
        <v>7</v>
      </c>
      <c r="I27" s="18">
        <v>130.63999999999999</v>
      </c>
      <c r="J27" s="18">
        <v>38900</v>
      </c>
      <c r="K27" s="2">
        <v>0</v>
      </c>
      <c r="L27" s="2" t="s">
        <v>3</v>
      </c>
      <c r="M27" s="3" t="s">
        <v>16</v>
      </c>
      <c r="N27" s="4" t="s">
        <v>4</v>
      </c>
      <c r="O27" s="7" t="s">
        <v>39</v>
      </c>
      <c r="W27" s="8" t="s">
        <v>196</v>
      </c>
      <c r="X27" s="16">
        <v>45127</v>
      </c>
      <c r="Y27" s="17">
        <v>45142</v>
      </c>
      <c r="Z27" s="17" t="s">
        <v>201</v>
      </c>
      <c r="AA27" s="49">
        <v>32000</v>
      </c>
      <c r="AB27" s="19" t="s">
        <v>49</v>
      </c>
      <c r="AC27" s="4" t="s">
        <v>49</v>
      </c>
      <c r="AD27" s="31">
        <v>45868</v>
      </c>
      <c r="AE27" s="50">
        <v>1068</v>
      </c>
      <c r="AF27" s="50"/>
      <c r="AH27" s="15"/>
      <c r="AI27" s="28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7"/>
      <c r="BA27" s="20"/>
      <c r="BB27" s="20"/>
      <c r="BD27" s="7"/>
      <c r="CS27" s="9">
        <f t="shared" si="4"/>
        <v>0</v>
      </c>
      <c r="CT27" s="20">
        <f t="shared" si="5"/>
        <v>0</v>
      </c>
      <c r="CU27" s="20">
        <f t="shared" si="6"/>
        <v>0</v>
      </c>
      <c r="CV27" s="24">
        <f t="shared" si="7"/>
        <v>1068</v>
      </c>
    </row>
    <row r="28" spans="1:100" x14ac:dyDescent="0.2">
      <c r="A28" s="7" t="s">
        <v>633</v>
      </c>
      <c r="B28" s="1">
        <v>24</v>
      </c>
      <c r="C28" s="106" t="s">
        <v>36</v>
      </c>
      <c r="D28" s="106" t="s">
        <v>37</v>
      </c>
      <c r="E28" s="105"/>
      <c r="F28" s="105"/>
      <c r="G28" s="1" t="s">
        <v>18</v>
      </c>
      <c r="H28" s="1">
        <v>4</v>
      </c>
      <c r="I28" s="18">
        <v>145.31</v>
      </c>
      <c r="J28" s="18">
        <v>42900</v>
      </c>
      <c r="K28" s="2">
        <v>0</v>
      </c>
      <c r="L28" s="2" t="s">
        <v>3</v>
      </c>
      <c r="M28" s="7" t="s">
        <v>0</v>
      </c>
      <c r="N28" s="7">
        <v>73176828</v>
      </c>
      <c r="O28" s="7" t="s">
        <v>632</v>
      </c>
      <c r="S28" s="7" t="s">
        <v>96</v>
      </c>
      <c r="T28" s="8" t="s">
        <v>18</v>
      </c>
      <c r="U28" s="8">
        <v>4</v>
      </c>
      <c r="V28" s="8">
        <v>145.31</v>
      </c>
      <c r="W28" s="8" t="s">
        <v>196</v>
      </c>
      <c r="X28" s="15">
        <v>45172</v>
      </c>
      <c r="Y28" s="15">
        <v>45172</v>
      </c>
      <c r="Z28" s="17" t="s">
        <v>201</v>
      </c>
      <c r="AA28" s="118">
        <v>41900</v>
      </c>
      <c r="AB28" s="7">
        <v>48</v>
      </c>
      <c r="AC28" s="7">
        <v>0</v>
      </c>
      <c r="AD28" s="15">
        <v>45172</v>
      </c>
      <c r="AE28" s="50">
        <v>100</v>
      </c>
      <c r="AF28" s="50"/>
      <c r="AG28" s="7" t="s">
        <v>72</v>
      </c>
      <c r="AH28" s="15">
        <v>45172</v>
      </c>
      <c r="AI28" s="7">
        <v>73176828</v>
      </c>
      <c r="AJ28" s="7" t="s">
        <v>632</v>
      </c>
      <c r="AK28" s="7" t="s">
        <v>634</v>
      </c>
      <c r="AL28" s="20">
        <v>100</v>
      </c>
      <c r="AM28" s="20"/>
      <c r="AN28" s="20" t="s">
        <v>637</v>
      </c>
      <c r="AO28" s="20"/>
      <c r="AP28" s="20"/>
      <c r="AQ28" s="20"/>
      <c r="AR28" s="20"/>
      <c r="AS28" s="20"/>
      <c r="AT28" s="20"/>
      <c r="AU28" s="20"/>
      <c r="AV28" s="20"/>
      <c r="AW28" s="15">
        <v>45904</v>
      </c>
      <c r="AX28" s="7">
        <v>27342</v>
      </c>
      <c r="AY28" s="7">
        <v>369</v>
      </c>
      <c r="AZ28" s="7">
        <v>3.69</v>
      </c>
      <c r="BA28" s="20">
        <f>+AY28/AZ28</f>
        <v>100</v>
      </c>
      <c r="BB28" s="20"/>
      <c r="BD28" s="7"/>
      <c r="CS28" s="9">
        <f t="shared" ref="CS28:CS91" si="8">+AL28+AT28</f>
        <v>100</v>
      </c>
      <c r="CT28" s="20">
        <f t="shared" ref="CT28:CT91" si="9">+BA28+BG28+BM28+BS28+BY28+CE28+CK28+CQ28</f>
        <v>100</v>
      </c>
      <c r="CU28" s="20">
        <f t="shared" ref="CU28:CU91" si="10">+CS28-CT28</f>
        <v>0</v>
      </c>
      <c r="CV28" s="24">
        <f t="shared" ref="CV28:CV91" si="11">+AE28-AL28-AT28</f>
        <v>0</v>
      </c>
    </row>
    <row r="29" spans="1:100" x14ac:dyDescent="0.2">
      <c r="A29" s="7" t="s">
        <v>633</v>
      </c>
      <c r="B29" s="1">
        <v>24</v>
      </c>
      <c r="C29" s="106" t="s">
        <v>36</v>
      </c>
      <c r="D29" s="106" t="s">
        <v>37</v>
      </c>
      <c r="E29" s="105"/>
      <c r="F29" s="105"/>
      <c r="G29" s="1" t="s">
        <v>18</v>
      </c>
      <c r="H29" s="1">
        <v>4</v>
      </c>
      <c r="I29" s="18">
        <v>145.31</v>
      </c>
      <c r="J29" s="18">
        <v>42900</v>
      </c>
      <c r="K29" s="2">
        <v>0</v>
      </c>
      <c r="L29" s="2" t="s">
        <v>3</v>
      </c>
      <c r="M29" s="7" t="s">
        <v>0</v>
      </c>
      <c r="N29" s="7">
        <v>73176828</v>
      </c>
      <c r="O29" s="7" t="s">
        <v>632</v>
      </c>
      <c r="S29" s="7" t="s">
        <v>96</v>
      </c>
      <c r="T29" s="8" t="s">
        <v>18</v>
      </c>
      <c r="U29" s="8">
        <v>4</v>
      </c>
      <c r="V29" s="8">
        <v>145.31</v>
      </c>
      <c r="W29" s="8" t="s">
        <v>196</v>
      </c>
      <c r="X29" s="15">
        <v>45172</v>
      </c>
      <c r="Y29" s="15">
        <v>45172</v>
      </c>
      <c r="Z29" s="17" t="s">
        <v>201</v>
      </c>
      <c r="AA29" s="118">
        <v>41900</v>
      </c>
      <c r="AB29" s="7">
        <v>48</v>
      </c>
      <c r="AC29" s="7">
        <v>0</v>
      </c>
      <c r="AD29" s="15">
        <v>45174</v>
      </c>
      <c r="AE29" s="50">
        <v>5900</v>
      </c>
      <c r="AF29" s="50"/>
      <c r="AG29" s="7" t="s">
        <v>72</v>
      </c>
      <c r="AH29" s="15">
        <v>45174</v>
      </c>
      <c r="AI29" s="7">
        <v>73176828</v>
      </c>
      <c r="AJ29" s="7" t="s">
        <v>632</v>
      </c>
      <c r="AK29" s="7" t="s">
        <v>635</v>
      </c>
      <c r="AL29" s="20">
        <v>5900</v>
      </c>
      <c r="AM29" s="20"/>
      <c r="AN29" s="20" t="s">
        <v>638</v>
      </c>
      <c r="AO29" s="20"/>
      <c r="AP29" s="20"/>
      <c r="AQ29" s="20"/>
      <c r="AR29" s="20"/>
      <c r="AS29" s="20"/>
      <c r="AT29" s="20"/>
      <c r="AU29" s="20"/>
      <c r="AV29" s="20"/>
      <c r="AW29" s="15">
        <v>45175</v>
      </c>
      <c r="AX29" s="7">
        <v>1876</v>
      </c>
      <c r="BA29" s="20">
        <v>5900</v>
      </c>
      <c r="BB29" s="20"/>
      <c r="BD29" s="7"/>
      <c r="CS29" s="9">
        <f t="shared" si="8"/>
        <v>5900</v>
      </c>
      <c r="CT29" s="20">
        <f t="shared" si="9"/>
        <v>5900</v>
      </c>
      <c r="CU29" s="20">
        <f t="shared" si="10"/>
        <v>0</v>
      </c>
      <c r="CV29" s="24">
        <f t="shared" si="11"/>
        <v>0</v>
      </c>
    </row>
    <row r="30" spans="1:100" x14ac:dyDescent="0.2">
      <c r="A30" s="7" t="s">
        <v>633</v>
      </c>
      <c r="B30" s="1">
        <v>24</v>
      </c>
      <c r="C30" s="106" t="s">
        <v>36</v>
      </c>
      <c r="D30" s="106" t="s">
        <v>37</v>
      </c>
      <c r="E30" s="105"/>
      <c r="F30" s="105"/>
      <c r="G30" s="1" t="s">
        <v>18</v>
      </c>
      <c r="H30" s="1">
        <v>4</v>
      </c>
      <c r="I30" s="18">
        <v>145.31</v>
      </c>
      <c r="J30" s="18">
        <v>42900</v>
      </c>
      <c r="K30" s="2">
        <v>0</v>
      </c>
      <c r="L30" s="2" t="s">
        <v>3</v>
      </c>
      <c r="M30" s="7" t="s">
        <v>0</v>
      </c>
      <c r="N30" s="7">
        <v>73176828</v>
      </c>
      <c r="O30" s="7" t="s">
        <v>632</v>
      </c>
      <c r="S30" s="7" t="s">
        <v>96</v>
      </c>
      <c r="T30" s="8" t="s">
        <v>18</v>
      </c>
      <c r="U30" s="8">
        <v>4</v>
      </c>
      <c r="V30" s="8">
        <v>145.31</v>
      </c>
      <c r="W30" s="8" t="s">
        <v>196</v>
      </c>
      <c r="X30" s="15">
        <v>45172</v>
      </c>
      <c r="Y30" s="15">
        <v>45172</v>
      </c>
      <c r="Z30" s="17" t="s">
        <v>201</v>
      </c>
      <c r="AA30" s="118">
        <v>41900</v>
      </c>
      <c r="AB30" s="7">
        <v>48</v>
      </c>
      <c r="AC30" s="7">
        <v>1</v>
      </c>
      <c r="AD30" s="15">
        <v>45290</v>
      </c>
      <c r="AE30" s="50">
        <v>748</v>
      </c>
      <c r="AF30" s="50"/>
      <c r="AG30" s="7" t="s">
        <v>72</v>
      </c>
      <c r="AH30" s="15">
        <v>45287</v>
      </c>
      <c r="AI30" s="7">
        <v>73176828</v>
      </c>
      <c r="AJ30" s="7" t="s">
        <v>632</v>
      </c>
      <c r="AK30" s="7" t="s">
        <v>636</v>
      </c>
      <c r="AL30" s="20">
        <v>748</v>
      </c>
      <c r="AM30" s="20"/>
      <c r="AN30" s="20" t="s">
        <v>639</v>
      </c>
      <c r="AO30" s="20"/>
      <c r="AP30" s="20"/>
      <c r="AQ30" s="20"/>
      <c r="AR30" s="20"/>
      <c r="AS30" s="20"/>
      <c r="AT30" s="20"/>
      <c r="AU30" s="20"/>
      <c r="AV30" s="20"/>
      <c r="AW30" s="15">
        <v>45287</v>
      </c>
      <c r="AX30" s="7">
        <v>2145</v>
      </c>
      <c r="BA30" s="20">
        <v>748</v>
      </c>
      <c r="BB30" s="20"/>
      <c r="BD30" s="7"/>
      <c r="CS30" s="9">
        <f t="shared" si="8"/>
        <v>748</v>
      </c>
      <c r="CT30" s="20">
        <f t="shared" si="9"/>
        <v>748</v>
      </c>
      <c r="CU30" s="20">
        <f t="shared" si="10"/>
        <v>0</v>
      </c>
      <c r="CV30" s="24">
        <f t="shared" si="11"/>
        <v>0</v>
      </c>
    </row>
    <row r="31" spans="1:100" x14ac:dyDescent="0.2">
      <c r="A31" s="7" t="s">
        <v>633</v>
      </c>
      <c r="B31" s="1">
        <v>24</v>
      </c>
      <c r="C31" s="106" t="s">
        <v>36</v>
      </c>
      <c r="D31" s="106" t="s">
        <v>37</v>
      </c>
      <c r="E31" s="105"/>
      <c r="F31" s="105"/>
      <c r="G31" s="1" t="s">
        <v>18</v>
      </c>
      <c r="H31" s="1">
        <v>4</v>
      </c>
      <c r="I31" s="18">
        <v>145.31</v>
      </c>
      <c r="J31" s="18">
        <v>42900</v>
      </c>
      <c r="K31" s="2">
        <v>0</v>
      </c>
      <c r="L31" s="2" t="s">
        <v>3</v>
      </c>
      <c r="M31" s="7" t="s">
        <v>0</v>
      </c>
      <c r="N31" s="7">
        <v>73176828</v>
      </c>
      <c r="O31" s="7" t="s">
        <v>632</v>
      </c>
      <c r="S31" s="7" t="s">
        <v>96</v>
      </c>
      <c r="T31" s="8" t="s">
        <v>18</v>
      </c>
      <c r="U31" s="8">
        <v>4</v>
      </c>
      <c r="V31" s="8">
        <v>145.31</v>
      </c>
      <c r="W31" s="8" t="s">
        <v>196</v>
      </c>
      <c r="X31" s="15">
        <v>45172</v>
      </c>
      <c r="Y31" s="15">
        <v>45172</v>
      </c>
      <c r="Z31" s="17" t="s">
        <v>201</v>
      </c>
      <c r="AA31" s="118">
        <v>41900</v>
      </c>
      <c r="AB31" s="7">
        <v>48</v>
      </c>
      <c r="AC31" s="7">
        <v>2</v>
      </c>
      <c r="AD31" s="15">
        <v>45321</v>
      </c>
      <c r="AE31" s="50">
        <v>748</v>
      </c>
      <c r="AF31" s="50"/>
      <c r="AG31" s="7" t="s">
        <v>72</v>
      </c>
      <c r="AH31" s="15">
        <v>45308</v>
      </c>
      <c r="AI31" s="7">
        <v>73176828</v>
      </c>
      <c r="AJ31" s="7" t="s">
        <v>632</v>
      </c>
      <c r="AK31" s="7" t="s">
        <v>640</v>
      </c>
      <c r="AL31" s="20">
        <v>748</v>
      </c>
      <c r="AM31" s="20"/>
      <c r="AN31" s="20" t="s">
        <v>205</v>
      </c>
      <c r="AO31" s="20"/>
      <c r="AP31" s="20"/>
      <c r="AQ31" s="20"/>
      <c r="AR31" s="20"/>
      <c r="AS31" s="20"/>
      <c r="AT31" s="20"/>
      <c r="AU31" s="20"/>
      <c r="AV31" s="20"/>
      <c r="AW31" s="15">
        <v>45307</v>
      </c>
      <c r="AX31" s="7">
        <v>2223</v>
      </c>
      <c r="BA31" s="20">
        <v>748</v>
      </c>
      <c r="BB31" s="20"/>
      <c r="BD31" s="7"/>
      <c r="CS31" s="9">
        <f t="shared" si="8"/>
        <v>748</v>
      </c>
      <c r="CT31" s="20">
        <f t="shared" si="9"/>
        <v>748</v>
      </c>
      <c r="CU31" s="20">
        <f t="shared" si="10"/>
        <v>0</v>
      </c>
      <c r="CV31" s="24">
        <f t="shared" si="11"/>
        <v>0</v>
      </c>
    </row>
    <row r="32" spans="1:100" x14ac:dyDescent="0.2">
      <c r="A32" s="7" t="s">
        <v>633</v>
      </c>
      <c r="B32" s="1">
        <v>24</v>
      </c>
      <c r="C32" s="106" t="s">
        <v>36</v>
      </c>
      <c r="D32" s="106" t="s">
        <v>37</v>
      </c>
      <c r="E32" s="105"/>
      <c r="F32" s="105"/>
      <c r="G32" s="1" t="s">
        <v>18</v>
      </c>
      <c r="H32" s="1">
        <v>4</v>
      </c>
      <c r="I32" s="18">
        <v>145.31</v>
      </c>
      <c r="J32" s="18">
        <v>42900</v>
      </c>
      <c r="K32" s="2">
        <v>0</v>
      </c>
      <c r="L32" s="2" t="s">
        <v>3</v>
      </c>
      <c r="M32" s="7" t="s">
        <v>0</v>
      </c>
      <c r="N32" s="7">
        <v>73176828</v>
      </c>
      <c r="O32" s="7" t="s">
        <v>632</v>
      </c>
      <c r="S32" s="7" t="s">
        <v>96</v>
      </c>
      <c r="T32" s="8" t="s">
        <v>18</v>
      </c>
      <c r="U32" s="8">
        <v>4</v>
      </c>
      <c r="V32" s="8">
        <v>145.31</v>
      </c>
      <c r="W32" s="8" t="s">
        <v>196</v>
      </c>
      <c r="X32" s="15">
        <v>45172</v>
      </c>
      <c r="Y32" s="15">
        <v>45172</v>
      </c>
      <c r="Z32" s="17" t="s">
        <v>201</v>
      </c>
      <c r="AA32" s="118">
        <v>41900</v>
      </c>
      <c r="AB32" s="7">
        <v>48</v>
      </c>
      <c r="AC32" s="7">
        <v>3</v>
      </c>
      <c r="AD32" s="15">
        <v>45351</v>
      </c>
      <c r="AE32" s="50">
        <v>748</v>
      </c>
      <c r="AF32" s="50"/>
      <c r="AG32" s="7" t="s">
        <v>72</v>
      </c>
      <c r="AH32" s="15">
        <v>45332</v>
      </c>
      <c r="AI32" s="7">
        <v>73176828</v>
      </c>
      <c r="AJ32" s="7" t="s">
        <v>632</v>
      </c>
      <c r="AK32" s="7" t="s">
        <v>641</v>
      </c>
      <c r="AL32" s="20">
        <v>748</v>
      </c>
      <c r="AM32" s="20"/>
      <c r="AN32" s="20" t="s">
        <v>206</v>
      </c>
      <c r="AO32" s="20"/>
      <c r="AP32" s="20"/>
      <c r="AQ32" s="20"/>
      <c r="AR32" s="20"/>
      <c r="AS32" s="20"/>
      <c r="AT32" s="20"/>
      <c r="AU32" s="20"/>
      <c r="AV32" s="20"/>
      <c r="AW32" s="15">
        <v>45329</v>
      </c>
      <c r="AX32" s="7">
        <v>2294</v>
      </c>
      <c r="BA32" s="20">
        <v>748</v>
      </c>
      <c r="BB32" s="20"/>
      <c r="BD32" s="7"/>
      <c r="CS32" s="9">
        <f t="shared" si="8"/>
        <v>748</v>
      </c>
      <c r="CT32" s="20">
        <f t="shared" si="9"/>
        <v>748</v>
      </c>
      <c r="CU32" s="20">
        <f t="shared" si="10"/>
        <v>0</v>
      </c>
      <c r="CV32" s="24">
        <f t="shared" si="11"/>
        <v>0</v>
      </c>
    </row>
    <row r="33" spans="1:100" x14ac:dyDescent="0.2">
      <c r="A33" s="7" t="s">
        <v>633</v>
      </c>
      <c r="B33" s="1">
        <v>24</v>
      </c>
      <c r="C33" s="106" t="s">
        <v>36</v>
      </c>
      <c r="D33" s="106" t="s">
        <v>37</v>
      </c>
      <c r="E33" s="105"/>
      <c r="F33" s="105"/>
      <c r="G33" s="1" t="s">
        <v>18</v>
      </c>
      <c r="H33" s="1">
        <v>4</v>
      </c>
      <c r="I33" s="18">
        <v>145.31</v>
      </c>
      <c r="J33" s="18">
        <v>42900</v>
      </c>
      <c r="K33" s="2">
        <v>0</v>
      </c>
      <c r="L33" s="2" t="s">
        <v>3</v>
      </c>
      <c r="M33" s="7" t="s">
        <v>0</v>
      </c>
      <c r="N33" s="7">
        <v>73176828</v>
      </c>
      <c r="O33" s="7" t="s">
        <v>632</v>
      </c>
      <c r="S33" s="7" t="s">
        <v>96</v>
      </c>
      <c r="T33" s="8" t="s">
        <v>18</v>
      </c>
      <c r="U33" s="8">
        <v>4</v>
      </c>
      <c r="V33" s="8">
        <v>145.31</v>
      </c>
      <c r="W33" s="8" t="s">
        <v>196</v>
      </c>
      <c r="X33" s="15">
        <v>45172</v>
      </c>
      <c r="Y33" s="15">
        <v>45172</v>
      </c>
      <c r="Z33" s="17" t="s">
        <v>201</v>
      </c>
      <c r="AA33" s="118">
        <v>41900</v>
      </c>
      <c r="AB33" s="7">
        <v>48</v>
      </c>
      <c r="AC33" s="7">
        <v>4</v>
      </c>
      <c r="AD33" s="15">
        <v>45381</v>
      </c>
      <c r="AE33" s="50">
        <v>748</v>
      </c>
      <c r="AF33" s="50"/>
      <c r="AG33" s="7" t="s">
        <v>72</v>
      </c>
      <c r="AH33" s="15">
        <v>45365</v>
      </c>
      <c r="AI33" s="7">
        <v>73176828</v>
      </c>
      <c r="AJ33" s="7" t="s">
        <v>632</v>
      </c>
      <c r="AK33" s="7" t="s">
        <v>642</v>
      </c>
      <c r="AL33" s="20">
        <v>748</v>
      </c>
      <c r="AM33" s="20"/>
      <c r="AN33" s="20" t="s">
        <v>207</v>
      </c>
      <c r="AO33" s="20"/>
      <c r="AP33" s="20"/>
      <c r="AQ33" s="20"/>
      <c r="AR33" s="20"/>
      <c r="AS33" s="20"/>
      <c r="AT33" s="20"/>
      <c r="AU33" s="20"/>
      <c r="AV33" s="20"/>
      <c r="AW33" s="15">
        <v>45363</v>
      </c>
      <c r="AX33" s="7">
        <v>2417</v>
      </c>
      <c r="BA33" s="20">
        <v>748</v>
      </c>
      <c r="BB33" s="20"/>
      <c r="BD33" s="7"/>
      <c r="CS33" s="9">
        <f t="shared" si="8"/>
        <v>748</v>
      </c>
      <c r="CT33" s="20">
        <f t="shared" si="9"/>
        <v>748</v>
      </c>
      <c r="CU33" s="20">
        <f t="shared" si="10"/>
        <v>0</v>
      </c>
      <c r="CV33" s="24">
        <f t="shared" si="11"/>
        <v>0</v>
      </c>
    </row>
    <row r="34" spans="1:100" x14ac:dyDescent="0.2">
      <c r="A34" s="7" t="s">
        <v>633</v>
      </c>
      <c r="B34" s="1">
        <v>24</v>
      </c>
      <c r="C34" s="106" t="s">
        <v>36</v>
      </c>
      <c r="D34" s="106" t="s">
        <v>37</v>
      </c>
      <c r="E34" s="105"/>
      <c r="F34" s="105"/>
      <c r="G34" s="1" t="s">
        <v>18</v>
      </c>
      <c r="H34" s="1">
        <v>4</v>
      </c>
      <c r="I34" s="18">
        <v>145.31</v>
      </c>
      <c r="J34" s="18">
        <v>42900</v>
      </c>
      <c r="K34" s="2">
        <v>0</v>
      </c>
      <c r="L34" s="2" t="s">
        <v>3</v>
      </c>
      <c r="M34" s="7" t="s">
        <v>0</v>
      </c>
      <c r="N34" s="7">
        <v>73176828</v>
      </c>
      <c r="O34" s="7" t="s">
        <v>632</v>
      </c>
      <c r="S34" s="7" t="s">
        <v>96</v>
      </c>
      <c r="T34" s="8" t="s">
        <v>18</v>
      </c>
      <c r="U34" s="8">
        <v>4</v>
      </c>
      <c r="V34" s="8">
        <v>145.31</v>
      </c>
      <c r="W34" s="8" t="s">
        <v>196</v>
      </c>
      <c r="X34" s="15">
        <v>45172</v>
      </c>
      <c r="Y34" s="15">
        <v>45172</v>
      </c>
      <c r="Z34" s="17" t="s">
        <v>201</v>
      </c>
      <c r="AA34" s="118">
        <v>41900</v>
      </c>
      <c r="AB34" s="7">
        <v>48</v>
      </c>
      <c r="AC34" s="7">
        <v>5</v>
      </c>
      <c r="AD34" s="15">
        <v>45412</v>
      </c>
      <c r="AE34" s="50">
        <v>748</v>
      </c>
      <c r="AF34" s="50"/>
      <c r="AG34" s="7" t="s">
        <v>72</v>
      </c>
      <c r="AH34" s="15">
        <v>45397</v>
      </c>
      <c r="AI34" s="7">
        <v>73176828</v>
      </c>
      <c r="AJ34" s="7" t="s">
        <v>632</v>
      </c>
      <c r="AK34" s="7" t="s">
        <v>643</v>
      </c>
      <c r="AL34" s="20">
        <v>748</v>
      </c>
      <c r="AM34" s="20"/>
      <c r="AN34" s="20" t="s">
        <v>208</v>
      </c>
      <c r="AO34" s="20"/>
      <c r="AP34" s="20"/>
      <c r="AQ34" s="20"/>
      <c r="AR34" s="20"/>
      <c r="AS34" s="20"/>
      <c r="AT34" s="20"/>
      <c r="AU34" s="20"/>
      <c r="AV34" s="20"/>
      <c r="AW34" s="15">
        <v>45397</v>
      </c>
      <c r="AX34" s="7">
        <v>2535</v>
      </c>
      <c r="BA34" s="20">
        <v>748</v>
      </c>
      <c r="BB34" s="20"/>
      <c r="BD34" s="7"/>
      <c r="CS34" s="9">
        <f t="shared" si="8"/>
        <v>748</v>
      </c>
      <c r="CT34" s="20">
        <f t="shared" si="9"/>
        <v>748</v>
      </c>
      <c r="CU34" s="20">
        <f t="shared" si="10"/>
        <v>0</v>
      </c>
      <c r="CV34" s="24">
        <f t="shared" si="11"/>
        <v>0</v>
      </c>
    </row>
    <row r="35" spans="1:100" x14ac:dyDescent="0.2">
      <c r="A35" s="7" t="s">
        <v>633</v>
      </c>
      <c r="B35" s="1">
        <v>24</v>
      </c>
      <c r="C35" s="106" t="s">
        <v>36</v>
      </c>
      <c r="D35" s="106" t="s">
        <v>37</v>
      </c>
      <c r="E35" s="105"/>
      <c r="F35" s="105"/>
      <c r="G35" s="1" t="s">
        <v>18</v>
      </c>
      <c r="H35" s="1">
        <v>4</v>
      </c>
      <c r="I35" s="18">
        <v>145.31</v>
      </c>
      <c r="J35" s="18">
        <v>42900</v>
      </c>
      <c r="K35" s="2">
        <v>0</v>
      </c>
      <c r="L35" s="2" t="s">
        <v>3</v>
      </c>
      <c r="M35" s="7" t="s">
        <v>0</v>
      </c>
      <c r="N35" s="7">
        <v>73176828</v>
      </c>
      <c r="O35" s="7" t="s">
        <v>632</v>
      </c>
      <c r="S35" s="7" t="s">
        <v>96</v>
      </c>
      <c r="T35" s="8" t="s">
        <v>18</v>
      </c>
      <c r="U35" s="8">
        <v>4</v>
      </c>
      <c r="V35" s="8">
        <v>145.31</v>
      </c>
      <c r="W35" s="8" t="s">
        <v>196</v>
      </c>
      <c r="X35" s="15">
        <v>45172</v>
      </c>
      <c r="Y35" s="15">
        <v>45172</v>
      </c>
      <c r="Z35" s="17" t="s">
        <v>201</v>
      </c>
      <c r="AA35" s="118">
        <v>41900</v>
      </c>
      <c r="AB35" s="7">
        <v>48</v>
      </c>
      <c r="AC35" s="7">
        <v>6</v>
      </c>
      <c r="AD35" s="15">
        <v>45442</v>
      </c>
      <c r="AE35" s="50">
        <v>748</v>
      </c>
      <c r="AF35" s="50"/>
      <c r="AG35" s="7" t="s">
        <v>72</v>
      </c>
      <c r="AH35" s="15">
        <v>45421</v>
      </c>
      <c r="AI35" s="7">
        <v>73176828</v>
      </c>
      <c r="AJ35" s="7" t="s">
        <v>632</v>
      </c>
      <c r="AK35" s="7" t="s">
        <v>644</v>
      </c>
      <c r="AL35" s="20">
        <v>748</v>
      </c>
      <c r="AM35" s="20"/>
      <c r="AN35" s="20" t="s">
        <v>209</v>
      </c>
      <c r="AO35" s="20"/>
      <c r="AP35" s="20"/>
      <c r="AQ35" s="20"/>
      <c r="AR35" s="20"/>
      <c r="AS35" s="20"/>
      <c r="AT35" s="20"/>
      <c r="AU35" s="20"/>
      <c r="AV35" s="20"/>
      <c r="AW35" s="15">
        <v>45420</v>
      </c>
      <c r="AX35" s="7">
        <v>2631</v>
      </c>
      <c r="BA35" s="20">
        <v>748</v>
      </c>
      <c r="BB35" s="20"/>
      <c r="BD35" s="7"/>
      <c r="CS35" s="9">
        <f t="shared" si="8"/>
        <v>748</v>
      </c>
      <c r="CT35" s="20">
        <f t="shared" si="9"/>
        <v>748</v>
      </c>
      <c r="CU35" s="20">
        <f t="shared" si="10"/>
        <v>0</v>
      </c>
      <c r="CV35" s="24">
        <f t="shared" si="11"/>
        <v>0</v>
      </c>
    </row>
    <row r="36" spans="1:100" x14ac:dyDescent="0.2">
      <c r="A36" s="7" t="s">
        <v>633</v>
      </c>
      <c r="B36" s="1">
        <v>24</v>
      </c>
      <c r="C36" s="106" t="s">
        <v>36</v>
      </c>
      <c r="D36" s="106" t="s">
        <v>37</v>
      </c>
      <c r="E36" s="105"/>
      <c r="F36" s="105"/>
      <c r="G36" s="1" t="s">
        <v>18</v>
      </c>
      <c r="H36" s="1">
        <v>4</v>
      </c>
      <c r="I36" s="18">
        <v>145.31</v>
      </c>
      <c r="J36" s="18">
        <v>42900</v>
      </c>
      <c r="K36" s="2">
        <v>0</v>
      </c>
      <c r="L36" s="2" t="s">
        <v>3</v>
      </c>
      <c r="M36" s="7" t="s">
        <v>0</v>
      </c>
      <c r="N36" s="7">
        <v>73176828</v>
      </c>
      <c r="O36" s="7" t="s">
        <v>632</v>
      </c>
      <c r="S36" s="7" t="s">
        <v>96</v>
      </c>
      <c r="T36" s="8" t="s">
        <v>18</v>
      </c>
      <c r="U36" s="8">
        <v>4</v>
      </c>
      <c r="V36" s="8">
        <v>145.31</v>
      </c>
      <c r="W36" s="8" t="s">
        <v>196</v>
      </c>
      <c r="X36" s="15">
        <v>45172</v>
      </c>
      <c r="Y36" s="15">
        <v>45172</v>
      </c>
      <c r="Z36" s="17" t="s">
        <v>201</v>
      </c>
      <c r="AA36" s="118">
        <v>41900</v>
      </c>
      <c r="AB36" s="7">
        <v>48</v>
      </c>
      <c r="AC36" s="7">
        <v>7</v>
      </c>
      <c r="AD36" s="15">
        <v>45473</v>
      </c>
      <c r="AE36" s="50">
        <v>748</v>
      </c>
      <c r="AF36" s="50"/>
      <c r="AG36" s="7" t="s">
        <v>72</v>
      </c>
      <c r="AH36" s="15">
        <v>45453</v>
      </c>
      <c r="AI36" s="7">
        <v>73176828</v>
      </c>
      <c r="AJ36" s="7" t="s">
        <v>632</v>
      </c>
      <c r="AK36" s="7" t="s">
        <v>645</v>
      </c>
      <c r="AL36" s="20">
        <v>748</v>
      </c>
      <c r="AM36" s="20"/>
      <c r="AN36" s="20" t="s">
        <v>210</v>
      </c>
      <c r="AO36" s="20"/>
      <c r="AP36" s="20"/>
      <c r="AQ36" s="20"/>
      <c r="AR36" s="20"/>
      <c r="AS36" s="20"/>
      <c r="AT36" s="20"/>
      <c r="AU36" s="20"/>
      <c r="AV36" s="20"/>
      <c r="AW36" s="15">
        <v>45452</v>
      </c>
      <c r="AX36" s="7">
        <v>2762</v>
      </c>
      <c r="BA36" s="20">
        <v>748</v>
      </c>
      <c r="BB36" s="20"/>
      <c r="BD36" s="7"/>
      <c r="CS36" s="9">
        <f t="shared" si="8"/>
        <v>748</v>
      </c>
      <c r="CT36" s="20">
        <f t="shared" si="9"/>
        <v>748</v>
      </c>
      <c r="CU36" s="20">
        <f t="shared" si="10"/>
        <v>0</v>
      </c>
      <c r="CV36" s="24">
        <f t="shared" si="11"/>
        <v>0</v>
      </c>
    </row>
    <row r="37" spans="1:100" x14ac:dyDescent="0.2">
      <c r="A37" s="7" t="s">
        <v>633</v>
      </c>
      <c r="B37" s="1">
        <v>24</v>
      </c>
      <c r="C37" s="106" t="s">
        <v>36</v>
      </c>
      <c r="D37" s="106" t="s">
        <v>37</v>
      </c>
      <c r="E37" s="105"/>
      <c r="F37" s="105"/>
      <c r="G37" s="1" t="s">
        <v>18</v>
      </c>
      <c r="H37" s="1">
        <v>4</v>
      </c>
      <c r="I37" s="18">
        <v>145.31</v>
      </c>
      <c r="J37" s="18">
        <v>42900</v>
      </c>
      <c r="K37" s="2">
        <v>0</v>
      </c>
      <c r="L37" s="2" t="s">
        <v>3</v>
      </c>
      <c r="M37" s="7" t="s">
        <v>0</v>
      </c>
      <c r="N37" s="7">
        <v>73176828</v>
      </c>
      <c r="O37" s="7" t="s">
        <v>632</v>
      </c>
      <c r="S37" s="7" t="s">
        <v>96</v>
      </c>
      <c r="T37" s="8" t="s">
        <v>18</v>
      </c>
      <c r="U37" s="8">
        <v>4</v>
      </c>
      <c r="V37" s="8">
        <v>145.31</v>
      </c>
      <c r="W37" s="8" t="s">
        <v>196</v>
      </c>
      <c r="X37" s="15">
        <v>45172</v>
      </c>
      <c r="Y37" s="15">
        <v>45172</v>
      </c>
      <c r="Z37" s="17" t="s">
        <v>201</v>
      </c>
      <c r="AA37" s="118">
        <v>41900</v>
      </c>
      <c r="AB37" s="7">
        <v>48</v>
      </c>
      <c r="AC37" s="7">
        <v>8</v>
      </c>
      <c r="AD37" s="15">
        <v>45503</v>
      </c>
      <c r="AE37" s="50">
        <v>748</v>
      </c>
      <c r="AF37" s="50"/>
      <c r="AG37" s="7" t="s">
        <v>72</v>
      </c>
      <c r="AH37" s="15">
        <v>45478</v>
      </c>
      <c r="AI37" s="7">
        <v>73176828</v>
      </c>
      <c r="AJ37" s="7" t="s">
        <v>632</v>
      </c>
      <c r="AK37" s="7" t="s">
        <v>646</v>
      </c>
      <c r="AL37" s="20">
        <v>748</v>
      </c>
      <c r="AM37" s="20"/>
      <c r="AN37" s="20" t="s">
        <v>211</v>
      </c>
      <c r="AO37" s="20"/>
      <c r="AP37" s="20"/>
      <c r="AQ37" s="20"/>
      <c r="AR37" s="20"/>
      <c r="AS37" s="20"/>
      <c r="AT37" s="20"/>
      <c r="AU37" s="20"/>
      <c r="AV37" s="20"/>
      <c r="AW37" s="15">
        <v>45477</v>
      </c>
      <c r="AX37" s="7">
        <v>2859</v>
      </c>
      <c r="BA37" s="20">
        <v>748</v>
      </c>
      <c r="BB37" s="20"/>
      <c r="BD37" s="7"/>
      <c r="CS37" s="9">
        <f t="shared" si="8"/>
        <v>748</v>
      </c>
      <c r="CT37" s="20">
        <f t="shared" si="9"/>
        <v>748</v>
      </c>
      <c r="CU37" s="20">
        <f t="shared" si="10"/>
        <v>0</v>
      </c>
      <c r="CV37" s="24">
        <f t="shared" si="11"/>
        <v>0</v>
      </c>
    </row>
    <row r="38" spans="1:100" x14ac:dyDescent="0.2">
      <c r="A38" s="7" t="s">
        <v>633</v>
      </c>
      <c r="B38" s="1">
        <v>24</v>
      </c>
      <c r="C38" s="106" t="s">
        <v>36</v>
      </c>
      <c r="D38" s="106" t="s">
        <v>37</v>
      </c>
      <c r="E38" s="105"/>
      <c r="F38" s="105"/>
      <c r="G38" s="1" t="s">
        <v>18</v>
      </c>
      <c r="H38" s="1">
        <v>4</v>
      </c>
      <c r="I38" s="18">
        <v>145.31</v>
      </c>
      <c r="J38" s="18">
        <v>42900</v>
      </c>
      <c r="K38" s="2">
        <v>0</v>
      </c>
      <c r="L38" s="2" t="s">
        <v>3</v>
      </c>
      <c r="M38" s="7" t="s">
        <v>0</v>
      </c>
      <c r="N38" s="7">
        <v>73176828</v>
      </c>
      <c r="O38" s="7" t="s">
        <v>632</v>
      </c>
      <c r="S38" s="7" t="s">
        <v>96</v>
      </c>
      <c r="T38" s="8" t="s">
        <v>18</v>
      </c>
      <c r="U38" s="8">
        <v>4</v>
      </c>
      <c r="V38" s="8">
        <v>145.31</v>
      </c>
      <c r="W38" s="8" t="s">
        <v>196</v>
      </c>
      <c r="X38" s="15">
        <v>45172</v>
      </c>
      <c r="Y38" s="15">
        <v>45172</v>
      </c>
      <c r="Z38" s="17" t="s">
        <v>201</v>
      </c>
      <c r="AA38" s="118">
        <v>41900</v>
      </c>
      <c r="AB38" s="7">
        <v>48</v>
      </c>
      <c r="AC38" s="7">
        <v>9</v>
      </c>
      <c r="AD38" s="15">
        <v>45534</v>
      </c>
      <c r="AE38" s="50">
        <v>748</v>
      </c>
      <c r="AF38" s="50"/>
      <c r="AG38" s="7" t="s">
        <v>72</v>
      </c>
      <c r="AH38" s="15">
        <v>45505</v>
      </c>
      <c r="AI38" s="7">
        <v>73176828</v>
      </c>
      <c r="AJ38" s="7" t="s">
        <v>632</v>
      </c>
      <c r="AK38" s="7" t="s">
        <v>647</v>
      </c>
      <c r="AL38" s="20">
        <v>748</v>
      </c>
      <c r="AM38" s="20"/>
      <c r="AN38" s="20" t="s">
        <v>212</v>
      </c>
      <c r="AO38" s="20"/>
      <c r="AP38" s="20"/>
      <c r="AQ38" s="20"/>
      <c r="AR38" s="20"/>
      <c r="AS38" s="20"/>
      <c r="AT38" s="20"/>
      <c r="AU38" s="20"/>
      <c r="AV38" s="20"/>
      <c r="AW38" s="15">
        <v>45505</v>
      </c>
      <c r="AX38" s="7">
        <v>2969</v>
      </c>
      <c r="BA38" s="20">
        <v>748</v>
      </c>
      <c r="BB38" s="20"/>
      <c r="BD38" s="7"/>
      <c r="CS38" s="9">
        <f t="shared" si="8"/>
        <v>748</v>
      </c>
      <c r="CT38" s="20">
        <f t="shared" si="9"/>
        <v>748</v>
      </c>
      <c r="CU38" s="20">
        <f t="shared" si="10"/>
        <v>0</v>
      </c>
      <c r="CV38" s="24">
        <f t="shared" si="11"/>
        <v>0</v>
      </c>
    </row>
    <row r="39" spans="1:100" x14ac:dyDescent="0.2">
      <c r="A39" s="7" t="s">
        <v>633</v>
      </c>
      <c r="B39" s="1">
        <v>24</v>
      </c>
      <c r="C39" s="106" t="s">
        <v>36</v>
      </c>
      <c r="D39" s="106" t="s">
        <v>37</v>
      </c>
      <c r="E39" s="105"/>
      <c r="F39" s="105"/>
      <c r="G39" s="1" t="s">
        <v>18</v>
      </c>
      <c r="H39" s="1">
        <v>4</v>
      </c>
      <c r="I39" s="18">
        <v>145.31</v>
      </c>
      <c r="J39" s="18">
        <v>42900</v>
      </c>
      <c r="K39" s="2">
        <v>0</v>
      </c>
      <c r="L39" s="2" t="s">
        <v>3</v>
      </c>
      <c r="M39" s="7" t="s">
        <v>0</v>
      </c>
      <c r="N39" s="7">
        <v>73176828</v>
      </c>
      <c r="O39" s="7" t="s">
        <v>632</v>
      </c>
      <c r="S39" s="7" t="s">
        <v>96</v>
      </c>
      <c r="T39" s="8" t="s">
        <v>18</v>
      </c>
      <c r="U39" s="8">
        <v>4</v>
      </c>
      <c r="V39" s="8">
        <v>145.31</v>
      </c>
      <c r="W39" s="8" t="s">
        <v>196</v>
      </c>
      <c r="X39" s="15">
        <v>45172</v>
      </c>
      <c r="Y39" s="15">
        <v>45172</v>
      </c>
      <c r="Z39" s="17" t="s">
        <v>201</v>
      </c>
      <c r="AA39" s="118">
        <v>41900</v>
      </c>
      <c r="AB39" s="7">
        <v>48</v>
      </c>
      <c r="AC39" s="7">
        <v>10</v>
      </c>
      <c r="AD39" s="15">
        <v>45565</v>
      </c>
      <c r="AE39" s="50">
        <v>748</v>
      </c>
      <c r="AF39" s="50"/>
      <c r="AG39" s="7" t="s">
        <v>72</v>
      </c>
      <c r="AH39" s="15">
        <v>45538</v>
      </c>
      <c r="AI39" s="7">
        <v>73176828</v>
      </c>
      <c r="AJ39" s="7" t="s">
        <v>632</v>
      </c>
      <c r="AK39" s="7" t="s">
        <v>648</v>
      </c>
      <c r="AL39" s="20">
        <v>748</v>
      </c>
      <c r="AM39" s="20"/>
      <c r="AN39" s="20" t="s">
        <v>213</v>
      </c>
      <c r="AO39" s="20"/>
      <c r="AP39" s="20"/>
      <c r="AQ39" s="20"/>
      <c r="AR39" s="20"/>
      <c r="AS39" s="20"/>
      <c r="AT39" s="20"/>
      <c r="AU39" s="20"/>
      <c r="AV39" s="20"/>
      <c r="AW39" s="15">
        <v>45538</v>
      </c>
      <c r="AX39" s="7">
        <v>3107</v>
      </c>
      <c r="BA39" s="20">
        <v>748</v>
      </c>
      <c r="BB39" s="20"/>
      <c r="BD39" s="7"/>
      <c r="CS39" s="9">
        <f t="shared" si="8"/>
        <v>748</v>
      </c>
      <c r="CT39" s="20">
        <f t="shared" si="9"/>
        <v>748</v>
      </c>
      <c r="CU39" s="20">
        <f t="shared" si="10"/>
        <v>0</v>
      </c>
      <c r="CV39" s="24">
        <f t="shared" si="11"/>
        <v>0</v>
      </c>
    </row>
    <row r="40" spans="1:100" x14ac:dyDescent="0.2">
      <c r="A40" s="7" t="s">
        <v>633</v>
      </c>
      <c r="B40" s="1">
        <v>24</v>
      </c>
      <c r="C40" s="106" t="s">
        <v>36</v>
      </c>
      <c r="D40" s="106" t="s">
        <v>37</v>
      </c>
      <c r="E40" s="105"/>
      <c r="F40" s="105"/>
      <c r="G40" s="1" t="s">
        <v>18</v>
      </c>
      <c r="H40" s="1">
        <v>4</v>
      </c>
      <c r="I40" s="18">
        <v>145.31</v>
      </c>
      <c r="J40" s="18">
        <v>42900</v>
      </c>
      <c r="K40" s="2">
        <v>0</v>
      </c>
      <c r="L40" s="2" t="s">
        <v>3</v>
      </c>
      <c r="M40" s="7" t="s">
        <v>0</v>
      </c>
      <c r="N40" s="7">
        <v>73176828</v>
      </c>
      <c r="O40" s="7" t="s">
        <v>632</v>
      </c>
      <c r="S40" s="7" t="s">
        <v>96</v>
      </c>
      <c r="T40" s="8" t="s">
        <v>18</v>
      </c>
      <c r="U40" s="8">
        <v>4</v>
      </c>
      <c r="V40" s="8">
        <v>145.31</v>
      </c>
      <c r="W40" s="8" t="s">
        <v>196</v>
      </c>
      <c r="X40" s="15">
        <v>45172</v>
      </c>
      <c r="Y40" s="15">
        <v>45172</v>
      </c>
      <c r="Z40" s="17" t="s">
        <v>201</v>
      </c>
      <c r="AA40" s="118">
        <v>41900</v>
      </c>
      <c r="AB40" s="7">
        <v>48</v>
      </c>
      <c r="AC40" s="7">
        <v>11</v>
      </c>
      <c r="AD40" s="15">
        <v>45595</v>
      </c>
      <c r="AE40" s="50">
        <v>748</v>
      </c>
      <c r="AF40" s="50"/>
      <c r="AG40" s="7" t="s">
        <v>72</v>
      </c>
      <c r="AH40" s="15">
        <v>45567</v>
      </c>
      <c r="AI40" s="7">
        <v>73176828</v>
      </c>
      <c r="AJ40" s="7" t="s">
        <v>632</v>
      </c>
      <c r="AK40" s="7" t="s">
        <v>649</v>
      </c>
      <c r="AL40" s="20">
        <v>748</v>
      </c>
      <c r="AM40" s="20"/>
      <c r="AN40" s="20" t="s">
        <v>214</v>
      </c>
      <c r="AO40" s="20"/>
      <c r="AP40" s="20"/>
      <c r="AQ40" s="20"/>
      <c r="AR40" s="20"/>
      <c r="AS40" s="20"/>
      <c r="AT40" s="20"/>
      <c r="AU40" s="20"/>
      <c r="AV40" s="20"/>
      <c r="AW40" s="15">
        <v>45566</v>
      </c>
      <c r="AX40" s="7">
        <v>3230</v>
      </c>
      <c r="BA40" s="20">
        <v>748</v>
      </c>
      <c r="BB40" s="20"/>
      <c r="BD40" s="7"/>
      <c r="CS40" s="9">
        <f t="shared" si="8"/>
        <v>748</v>
      </c>
      <c r="CT40" s="20">
        <f t="shared" si="9"/>
        <v>748</v>
      </c>
      <c r="CU40" s="20">
        <f t="shared" si="10"/>
        <v>0</v>
      </c>
      <c r="CV40" s="24">
        <f t="shared" si="11"/>
        <v>0</v>
      </c>
    </row>
    <row r="41" spans="1:100" x14ac:dyDescent="0.2">
      <c r="A41" s="7" t="s">
        <v>633</v>
      </c>
      <c r="B41" s="1">
        <v>24</v>
      </c>
      <c r="C41" s="106" t="s">
        <v>36</v>
      </c>
      <c r="D41" s="106" t="s">
        <v>37</v>
      </c>
      <c r="E41" s="105"/>
      <c r="F41" s="105"/>
      <c r="G41" s="1" t="s">
        <v>18</v>
      </c>
      <c r="H41" s="1">
        <v>4</v>
      </c>
      <c r="I41" s="18">
        <v>145.31</v>
      </c>
      <c r="J41" s="18">
        <v>42900</v>
      </c>
      <c r="K41" s="2">
        <v>0</v>
      </c>
      <c r="L41" s="2" t="s">
        <v>3</v>
      </c>
      <c r="M41" s="7" t="s">
        <v>0</v>
      </c>
      <c r="N41" s="7">
        <v>73176828</v>
      </c>
      <c r="O41" s="7" t="s">
        <v>632</v>
      </c>
      <c r="S41" s="7" t="s">
        <v>96</v>
      </c>
      <c r="T41" s="8" t="s">
        <v>18</v>
      </c>
      <c r="U41" s="8">
        <v>4</v>
      </c>
      <c r="V41" s="8">
        <v>145.31</v>
      </c>
      <c r="W41" s="8" t="s">
        <v>196</v>
      </c>
      <c r="X41" s="15">
        <v>45172</v>
      </c>
      <c r="Y41" s="15">
        <v>45172</v>
      </c>
      <c r="Z41" s="17" t="s">
        <v>201</v>
      </c>
      <c r="AA41" s="118">
        <v>41900</v>
      </c>
      <c r="AB41" s="7">
        <v>48</v>
      </c>
      <c r="AC41" s="7">
        <v>12</v>
      </c>
      <c r="AD41" s="15">
        <v>45626</v>
      </c>
      <c r="AE41" s="50">
        <v>748</v>
      </c>
      <c r="AF41" s="50"/>
      <c r="AG41" s="7" t="s">
        <v>72</v>
      </c>
      <c r="AH41" s="15">
        <v>45602</v>
      </c>
      <c r="AI41" s="7">
        <v>73176828</v>
      </c>
      <c r="AJ41" s="7" t="s">
        <v>632</v>
      </c>
      <c r="AK41" s="7" t="s">
        <v>650</v>
      </c>
      <c r="AL41" s="20">
        <v>748</v>
      </c>
      <c r="AM41" s="20"/>
      <c r="AN41" s="20" t="s">
        <v>215</v>
      </c>
      <c r="AO41" s="20"/>
      <c r="AP41" s="20"/>
      <c r="AQ41" s="20"/>
      <c r="AR41" s="20"/>
      <c r="AS41" s="20"/>
      <c r="AT41" s="20"/>
      <c r="AU41" s="20"/>
      <c r="AV41" s="20"/>
      <c r="AW41" s="15">
        <v>45601</v>
      </c>
      <c r="AX41" s="7">
        <v>3375</v>
      </c>
      <c r="BA41" s="20">
        <v>748</v>
      </c>
      <c r="BB41" s="20"/>
      <c r="BD41" s="7"/>
      <c r="CS41" s="9">
        <f t="shared" si="8"/>
        <v>748</v>
      </c>
      <c r="CT41" s="20">
        <f t="shared" si="9"/>
        <v>748</v>
      </c>
      <c r="CU41" s="20">
        <f t="shared" si="10"/>
        <v>0</v>
      </c>
      <c r="CV41" s="24">
        <f t="shared" si="11"/>
        <v>0</v>
      </c>
    </row>
    <row r="42" spans="1:100" x14ac:dyDescent="0.2">
      <c r="A42" s="7" t="s">
        <v>633</v>
      </c>
      <c r="B42" s="1">
        <v>24</v>
      </c>
      <c r="C42" s="106" t="s">
        <v>36</v>
      </c>
      <c r="D42" s="106" t="s">
        <v>37</v>
      </c>
      <c r="E42" s="105"/>
      <c r="F42" s="105"/>
      <c r="G42" s="1" t="s">
        <v>18</v>
      </c>
      <c r="H42" s="1">
        <v>4</v>
      </c>
      <c r="I42" s="18">
        <v>145.31</v>
      </c>
      <c r="J42" s="18">
        <v>42900</v>
      </c>
      <c r="K42" s="2">
        <v>0</v>
      </c>
      <c r="L42" s="2" t="s">
        <v>3</v>
      </c>
      <c r="M42" s="7" t="s">
        <v>0</v>
      </c>
      <c r="N42" s="7">
        <v>73176828</v>
      </c>
      <c r="O42" s="7" t="s">
        <v>632</v>
      </c>
      <c r="S42" s="7" t="s">
        <v>96</v>
      </c>
      <c r="T42" s="8" t="s">
        <v>18</v>
      </c>
      <c r="U42" s="8">
        <v>4</v>
      </c>
      <c r="V42" s="8">
        <v>145.31</v>
      </c>
      <c r="W42" s="8" t="s">
        <v>196</v>
      </c>
      <c r="X42" s="15">
        <v>45172</v>
      </c>
      <c r="Y42" s="15">
        <v>45172</v>
      </c>
      <c r="Z42" s="17" t="s">
        <v>201</v>
      </c>
      <c r="AA42" s="118">
        <v>41900</v>
      </c>
      <c r="AB42" s="7">
        <v>48</v>
      </c>
      <c r="AC42" s="7">
        <v>13</v>
      </c>
      <c r="AD42" s="15">
        <v>45656</v>
      </c>
      <c r="AE42" s="50">
        <v>748</v>
      </c>
      <c r="AF42" s="50"/>
      <c r="AG42" s="7" t="s">
        <v>72</v>
      </c>
      <c r="AH42" s="15">
        <v>45636</v>
      </c>
      <c r="AI42" s="7">
        <v>73176828</v>
      </c>
      <c r="AJ42" s="7" t="s">
        <v>632</v>
      </c>
      <c r="AK42" s="7" t="s">
        <v>651</v>
      </c>
      <c r="AL42" s="20">
        <v>748</v>
      </c>
      <c r="AM42" s="20"/>
      <c r="AN42" s="20" t="s">
        <v>216</v>
      </c>
      <c r="AO42" s="20"/>
      <c r="AP42" s="20"/>
      <c r="AQ42" s="20"/>
      <c r="AR42" s="20"/>
      <c r="AS42" s="20"/>
      <c r="AT42" s="20"/>
      <c r="AU42" s="20"/>
      <c r="AV42" s="20"/>
      <c r="AW42" s="15">
        <v>45634</v>
      </c>
      <c r="AX42" s="7">
        <v>3491</v>
      </c>
      <c r="BA42" s="20">
        <v>748</v>
      </c>
      <c r="BB42" s="20"/>
      <c r="BD42" s="7"/>
      <c r="CS42" s="9">
        <f t="shared" si="8"/>
        <v>748</v>
      </c>
      <c r="CT42" s="20">
        <f t="shared" si="9"/>
        <v>748</v>
      </c>
      <c r="CU42" s="20">
        <f t="shared" si="10"/>
        <v>0</v>
      </c>
      <c r="CV42" s="24">
        <f t="shared" si="11"/>
        <v>0</v>
      </c>
    </row>
    <row r="43" spans="1:100" x14ac:dyDescent="0.2">
      <c r="A43" s="7" t="s">
        <v>633</v>
      </c>
      <c r="B43" s="1">
        <v>24</v>
      </c>
      <c r="C43" s="106" t="s">
        <v>36</v>
      </c>
      <c r="D43" s="106" t="s">
        <v>37</v>
      </c>
      <c r="E43" s="105"/>
      <c r="F43" s="105"/>
      <c r="G43" s="1" t="s">
        <v>18</v>
      </c>
      <c r="H43" s="1">
        <v>4</v>
      </c>
      <c r="I43" s="18">
        <v>145.31</v>
      </c>
      <c r="J43" s="18">
        <v>42900</v>
      </c>
      <c r="K43" s="2">
        <v>0</v>
      </c>
      <c r="L43" s="2" t="s">
        <v>3</v>
      </c>
      <c r="M43" s="7" t="s">
        <v>0</v>
      </c>
      <c r="N43" s="7">
        <v>73176828</v>
      </c>
      <c r="O43" s="7" t="s">
        <v>632</v>
      </c>
      <c r="S43" s="7" t="s">
        <v>96</v>
      </c>
      <c r="T43" s="8" t="s">
        <v>18</v>
      </c>
      <c r="U43" s="8">
        <v>4</v>
      </c>
      <c r="V43" s="8">
        <v>145.31</v>
      </c>
      <c r="W43" s="8" t="s">
        <v>196</v>
      </c>
      <c r="X43" s="15">
        <v>45172</v>
      </c>
      <c r="Y43" s="15">
        <v>45172</v>
      </c>
      <c r="Z43" s="17" t="s">
        <v>201</v>
      </c>
      <c r="AA43" s="118">
        <v>41900</v>
      </c>
      <c r="AB43" s="7">
        <v>48</v>
      </c>
      <c r="AC43" s="7">
        <v>14</v>
      </c>
      <c r="AD43" s="15">
        <v>45687</v>
      </c>
      <c r="AE43" s="50">
        <v>748</v>
      </c>
      <c r="AF43" s="50"/>
      <c r="AG43" s="7" t="s">
        <v>72</v>
      </c>
      <c r="AH43" s="15">
        <v>45670</v>
      </c>
      <c r="AI43" s="7">
        <v>73176828</v>
      </c>
      <c r="AJ43" s="7" t="s">
        <v>632</v>
      </c>
      <c r="AK43" s="7" t="s">
        <v>655</v>
      </c>
      <c r="AL43" s="20">
        <v>748</v>
      </c>
      <c r="AM43" s="20"/>
      <c r="AN43" s="20" t="s">
        <v>217</v>
      </c>
      <c r="AO43" s="20"/>
      <c r="AP43" s="20"/>
      <c r="AQ43" s="20"/>
      <c r="AR43" s="20"/>
      <c r="AS43" s="20"/>
      <c r="AT43" s="20"/>
      <c r="AU43" s="20"/>
      <c r="AV43" s="20"/>
      <c r="AW43" s="15">
        <v>45667</v>
      </c>
      <c r="AX43" s="7">
        <v>3594</v>
      </c>
      <c r="BA43" s="20">
        <v>748</v>
      </c>
      <c r="BB43" s="20"/>
      <c r="BD43" s="7"/>
      <c r="CS43" s="9">
        <f t="shared" si="8"/>
        <v>748</v>
      </c>
      <c r="CT43" s="20">
        <f t="shared" si="9"/>
        <v>748</v>
      </c>
      <c r="CU43" s="20">
        <f t="shared" si="10"/>
        <v>0</v>
      </c>
      <c r="CV43" s="24">
        <f t="shared" si="11"/>
        <v>0</v>
      </c>
    </row>
    <row r="44" spans="1:100" x14ac:dyDescent="0.2">
      <c r="A44" s="7" t="s">
        <v>633</v>
      </c>
      <c r="B44" s="1">
        <v>24</v>
      </c>
      <c r="C44" s="106" t="s">
        <v>36</v>
      </c>
      <c r="D44" s="106" t="s">
        <v>37</v>
      </c>
      <c r="E44" s="105"/>
      <c r="F44" s="105"/>
      <c r="G44" s="1" t="s">
        <v>18</v>
      </c>
      <c r="H44" s="1">
        <v>4</v>
      </c>
      <c r="I44" s="18">
        <v>145.31</v>
      </c>
      <c r="J44" s="18">
        <v>42900</v>
      </c>
      <c r="K44" s="2">
        <v>0</v>
      </c>
      <c r="L44" s="2" t="s">
        <v>3</v>
      </c>
      <c r="M44" s="7" t="s">
        <v>0</v>
      </c>
      <c r="N44" s="7">
        <v>73176828</v>
      </c>
      <c r="O44" s="7" t="s">
        <v>632</v>
      </c>
      <c r="S44" s="7" t="s">
        <v>96</v>
      </c>
      <c r="T44" s="8" t="s">
        <v>18</v>
      </c>
      <c r="U44" s="8">
        <v>4</v>
      </c>
      <c r="V44" s="8">
        <v>145.31</v>
      </c>
      <c r="W44" s="8" t="s">
        <v>196</v>
      </c>
      <c r="X44" s="15">
        <v>45172</v>
      </c>
      <c r="Y44" s="15">
        <v>45172</v>
      </c>
      <c r="Z44" s="17" t="s">
        <v>201</v>
      </c>
      <c r="AA44" s="118">
        <v>41900</v>
      </c>
      <c r="AB44" s="7">
        <v>48</v>
      </c>
      <c r="AC44" s="7">
        <v>15</v>
      </c>
      <c r="AD44" s="15">
        <v>45716</v>
      </c>
      <c r="AE44" s="50">
        <v>748</v>
      </c>
      <c r="AF44" s="50"/>
      <c r="AG44" s="7" t="s">
        <v>72</v>
      </c>
      <c r="AH44" s="15">
        <v>45714</v>
      </c>
      <c r="AI44" s="7">
        <v>73176828</v>
      </c>
      <c r="AJ44" s="7" t="s">
        <v>632</v>
      </c>
      <c r="AK44" s="7" t="s">
        <v>656</v>
      </c>
      <c r="AL44" s="20">
        <v>748</v>
      </c>
      <c r="AM44" s="20"/>
      <c r="AN44" s="20" t="s">
        <v>218</v>
      </c>
      <c r="AO44" s="20"/>
      <c r="AP44" s="20"/>
      <c r="AQ44" s="20"/>
      <c r="AR44" s="20"/>
      <c r="AS44" s="20"/>
      <c r="AT44" s="20"/>
      <c r="AU44" s="20"/>
      <c r="AV44" s="20"/>
      <c r="AW44" s="15">
        <v>45713</v>
      </c>
      <c r="AX44" s="7">
        <v>3791</v>
      </c>
      <c r="BA44" s="20">
        <v>748</v>
      </c>
      <c r="BB44" s="20"/>
      <c r="BD44" s="7"/>
      <c r="CS44" s="9">
        <f t="shared" si="8"/>
        <v>748</v>
      </c>
      <c r="CT44" s="20">
        <f t="shared" si="9"/>
        <v>748</v>
      </c>
      <c r="CU44" s="20">
        <f t="shared" si="10"/>
        <v>0</v>
      </c>
      <c r="CV44" s="24">
        <f t="shared" si="11"/>
        <v>0</v>
      </c>
    </row>
    <row r="45" spans="1:100" x14ac:dyDescent="0.2">
      <c r="A45" s="7" t="s">
        <v>633</v>
      </c>
      <c r="B45" s="1">
        <v>24</v>
      </c>
      <c r="C45" s="106" t="s">
        <v>36</v>
      </c>
      <c r="D45" s="106" t="s">
        <v>37</v>
      </c>
      <c r="E45" s="105"/>
      <c r="F45" s="105"/>
      <c r="G45" s="1" t="s">
        <v>18</v>
      </c>
      <c r="H45" s="1">
        <v>4</v>
      </c>
      <c r="I45" s="18">
        <v>145.31</v>
      </c>
      <c r="J45" s="18">
        <v>42900</v>
      </c>
      <c r="K45" s="2">
        <v>0</v>
      </c>
      <c r="L45" s="2" t="s">
        <v>3</v>
      </c>
      <c r="M45" s="7" t="s">
        <v>0</v>
      </c>
      <c r="N45" s="7">
        <v>73176828</v>
      </c>
      <c r="O45" s="7" t="s">
        <v>632</v>
      </c>
      <c r="S45" s="7" t="s">
        <v>96</v>
      </c>
      <c r="T45" s="8" t="s">
        <v>18</v>
      </c>
      <c r="U45" s="8">
        <v>4</v>
      </c>
      <c r="V45" s="8">
        <v>145.31</v>
      </c>
      <c r="W45" s="8" t="s">
        <v>196</v>
      </c>
      <c r="X45" s="15">
        <v>45172</v>
      </c>
      <c r="Y45" s="15">
        <v>45172</v>
      </c>
      <c r="Z45" s="17" t="s">
        <v>201</v>
      </c>
      <c r="AA45" s="118">
        <v>41900</v>
      </c>
      <c r="AB45" s="7">
        <v>48</v>
      </c>
      <c r="AC45" s="7">
        <v>16</v>
      </c>
      <c r="AD45" s="15">
        <v>45746</v>
      </c>
      <c r="AE45" s="50">
        <v>748</v>
      </c>
      <c r="AF45" s="50"/>
      <c r="AG45" s="7" t="s">
        <v>72</v>
      </c>
      <c r="AH45" s="15">
        <v>45742</v>
      </c>
      <c r="AI45" s="7">
        <v>73176828</v>
      </c>
      <c r="AJ45" s="7" t="s">
        <v>632</v>
      </c>
      <c r="AK45" s="7" t="s">
        <v>657</v>
      </c>
      <c r="AL45" s="20">
        <v>748</v>
      </c>
      <c r="AM45" s="20"/>
      <c r="AN45" s="20" t="s">
        <v>219</v>
      </c>
      <c r="AO45" s="20"/>
      <c r="AP45" s="20"/>
      <c r="AQ45" s="20"/>
      <c r="AR45" s="20"/>
      <c r="AS45" s="20"/>
      <c r="AT45" s="20"/>
      <c r="AU45" s="20"/>
      <c r="AV45" s="20"/>
      <c r="AW45" s="15">
        <v>45741</v>
      </c>
      <c r="AX45" s="7">
        <v>3922</v>
      </c>
      <c r="BA45" s="20">
        <v>748</v>
      </c>
      <c r="BB45" s="20"/>
      <c r="BD45" s="7"/>
      <c r="CS45" s="9">
        <f t="shared" si="8"/>
        <v>748</v>
      </c>
      <c r="CT45" s="20">
        <f t="shared" si="9"/>
        <v>748</v>
      </c>
      <c r="CU45" s="20">
        <f t="shared" si="10"/>
        <v>0</v>
      </c>
      <c r="CV45" s="24">
        <f t="shared" si="11"/>
        <v>0</v>
      </c>
    </row>
    <row r="46" spans="1:100" x14ac:dyDescent="0.2">
      <c r="A46" s="7" t="s">
        <v>633</v>
      </c>
      <c r="B46" s="1">
        <v>24</v>
      </c>
      <c r="C46" s="106" t="s">
        <v>36</v>
      </c>
      <c r="D46" s="106" t="s">
        <v>37</v>
      </c>
      <c r="E46" s="105"/>
      <c r="F46" s="105"/>
      <c r="G46" s="1" t="s">
        <v>18</v>
      </c>
      <c r="H46" s="1">
        <v>4</v>
      </c>
      <c r="I46" s="18">
        <v>145.31</v>
      </c>
      <c r="J46" s="18">
        <v>42900</v>
      </c>
      <c r="K46" s="2">
        <v>0</v>
      </c>
      <c r="L46" s="2" t="s">
        <v>3</v>
      </c>
      <c r="M46" s="7" t="s">
        <v>0</v>
      </c>
      <c r="N46" s="7">
        <v>73176828</v>
      </c>
      <c r="O46" s="7" t="s">
        <v>632</v>
      </c>
      <c r="S46" s="7" t="s">
        <v>96</v>
      </c>
      <c r="T46" s="8" t="s">
        <v>18</v>
      </c>
      <c r="U46" s="8">
        <v>4</v>
      </c>
      <c r="V46" s="8">
        <v>145.31</v>
      </c>
      <c r="W46" s="8" t="s">
        <v>196</v>
      </c>
      <c r="X46" s="15">
        <v>45172</v>
      </c>
      <c r="Y46" s="15">
        <v>45172</v>
      </c>
      <c r="Z46" s="17" t="s">
        <v>201</v>
      </c>
      <c r="AA46" s="118">
        <v>41900</v>
      </c>
      <c r="AB46" s="7">
        <v>48</v>
      </c>
      <c r="AC46" s="7">
        <v>17</v>
      </c>
      <c r="AD46" s="15">
        <v>45777</v>
      </c>
      <c r="AE46" s="50">
        <v>748</v>
      </c>
      <c r="AF46" s="50"/>
      <c r="AG46" s="7" t="s">
        <v>72</v>
      </c>
      <c r="AH46" s="15">
        <v>45772</v>
      </c>
      <c r="AI46" s="7">
        <v>73176828</v>
      </c>
      <c r="AJ46" s="7" t="s">
        <v>632</v>
      </c>
      <c r="AK46" s="7" t="s">
        <v>658</v>
      </c>
      <c r="AL46" s="20">
        <v>748</v>
      </c>
      <c r="AM46" s="20"/>
      <c r="AN46" s="20" t="s">
        <v>220</v>
      </c>
      <c r="AO46" s="20"/>
      <c r="AP46" s="20"/>
      <c r="AQ46" s="20"/>
      <c r="AR46" s="20"/>
      <c r="AS46" s="20"/>
      <c r="AT46" s="20"/>
      <c r="AU46" s="20"/>
      <c r="AV46" s="20"/>
      <c r="AW46" s="15">
        <v>45772</v>
      </c>
      <c r="AX46" s="7">
        <v>4062</v>
      </c>
      <c r="BA46" s="20">
        <v>748</v>
      </c>
      <c r="BB46" s="20"/>
      <c r="BD46" s="7"/>
      <c r="CS46" s="9">
        <f t="shared" si="8"/>
        <v>748</v>
      </c>
      <c r="CT46" s="20">
        <f t="shared" si="9"/>
        <v>748</v>
      </c>
      <c r="CU46" s="20">
        <f t="shared" si="10"/>
        <v>0</v>
      </c>
      <c r="CV46" s="24">
        <f t="shared" si="11"/>
        <v>0</v>
      </c>
    </row>
    <row r="47" spans="1:100" x14ac:dyDescent="0.2">
      <c r="A47" s="7" t="s">
        <v>633</v>
      </c>
      <c r="B47" s="1">
        <v>24</v>
      </c>
      <c r="C47" s="106" t="s">
        <v>36</v>
      </c>
      <c r="D47" s="106" t="s">
        <v>37</v>
      </c>
      <c r="E47" s="105"/>
      <c r="F47" s="105"/>
      <c r="G47" s="1" t="s">
        <v>18</v>
      </c>
      <c r="H47" s="1">
        <v>4</v>
      </c>
      <c r="I47" s="18">
        <v>145.31</v>
      </c>
      <c r="J47" s="18">
        <v>42900</v>
      </c>
      <c r="K47" s="2">
        <v>0</v>
      </c>
      <c r="L47" s="2" t="s">
        <v>3</v>
      </c>
      <c r="M47" s="7" t="s">
        <v>0</v>
      </c>
      <c r="N47" s="7">
        <v>73176828</v>
      </c>
      <c r="O47" s="7" t="s">
        <v>632</v>
      </c>
      <c r="S47" s="7" t="s">
        <v>96</v>
      </c>
      <c r="T47" s="8" t="s">
        <v>18</v>
      </c>
      <c r="U47" s="8">
        <v>4</v>
      </c>
      <c r="V47" s="8">
        <v>145.31</v>
      </c>
      <c r="W47" s="8" t="s">
        <v>196</v>
      </c>
      <c r="X47" s="15">
        <v>45172</v>
      </c>
      <c r="Y47" s="15">
        <v>45172</v>
      </c>
      <c r="Z47" s="17" t="s">
        <v>201</v>
      </c>
      <c r="AA47" s="118">
        <v>41900</v>
      </c>
      <c r="AB47" s="7">
        <v>48</v>
      </c>
      <c r="AC47" s="7">
        <v>18</v>
      </c>
      <c r="AD47" s="15">
        <v>45807</v>
      </c>
      <c r="AE47" s="50">
        <v>748</v>
      </c>
      <c r="AF47" s="50"/>
      <c r="AG47" s="7" t="s">
        <v>72</v>
      </c>
      <c r="AH47" s="15">
        <v>45800</v>
      </c>
      <c r="AI47" s="7">
        <v>73176828</v>
      </c>
      <c r="AJ47" s="7" t="s">
        <v>632</v>
      </c>
      <c r="AK47" s="7" t="s">
        <v>659</v>
      </c>
      <c r="AL47" s="20">
        <v>748</v>
      </c>
      <c r="AM47" s="20"/>
      <c r="AN47" s="20" t="s">
        <v>221</v>
      </c>
      <c r="AO47" s="20"/>
      <c r="AP47" s="20"/>
      <c r="AQ47" s="20"/>
      <c r="AR47" s="20"/>
      <c r="AS47" s="20"/>
      <c r="AT47" s="20"/>
      <c r="AU47" s="20"/>
      <c r="AV47" s="20"/>
      <c r="AW47" s="15">
        <v>45800</v>
      </c>
      <c r="AX47" s="7">
        <v>4210</v>
      </c>
      <c r="BA47" s="20">
        <v>748</v>
      </c>
      <c r="BB47" s="20"/>
      <c r="BD47" s="7"/>
      <c r="CS47" s="9">
        <f t="shared" si="8"/>
        <v>748</v>
      </c>
      <c r="CT47" s="20">
        <f t="shared" si="9"/>
        <v>748</v>
      </c>
      <c r="CU47" s="20">
        <f t="shared" si="10"/>
        <v>0</v>
      </c>
      <c r="CV47" s="24">
        <f t="shared" si="11"/>
        <v>0</v>
      </c>
    </row>
    <row r="48" spans="1:100" x14ac:dyDescent="0.2">
      <c r="A48" s="7" t="s">
        <v>633</v>
      </c>
      <c r="B48" s="1">
        <v>24</v>
      </c>
      <c r="C48" s="106" t="s">
        <v>36</v>
      </c>
      <c r="D48" s="106" t="s">
        <v>37</v>
      </c>
      <c r="E48" s="105"/>
      <c r="F48" s="105"/>
      <c r="G48" s="1" t="s">
        <v>18</v>
      </c>
      <c r="H48" s="1">
        <v>4</v>
      </c>
      <c r="I48" s="18">
        <v>145.31</v>
      </c>
      <c r="J48" s="18">
        <v>42900</v>
      </c>
      <c r="K48" s="2">
        <v>0</v>
      </c>
      <c r="L48" s="2" t="s">
        <v>3</v>
      </c>
      <c r="M48" s="7" t="s">
        <v>0</v>
      </c>
      <c r="N48" s="7">
        <v>73176828</v>
      </c>
      <c r="O48" s="7" t="s">
        <v>632</v>
      </c>
      <c r="S48" s="7" t="s">
        <v>96</v>
      </c>
      <c r="T48" s="8" t="s">
        <v>18</v>
      </c>
      <c r="U48" s="8">
        <v>4</v>
      </c>
      <c r="V48" s="8">
        <v>145.31</v>
      </c>
      <c r="W48" s="8" t="s">
        <v>196</v>
      </c>
      <c r="X48" s="15">
        <v>45172</v>
      </c>
      <c r="Y48" s="15">
        <v>45172</v>
      </c>
      <c r="Z48" s="17" t="s">
        <v>201</v>
      </c>
      <c r="AA48" s="118">
        <v>41900</v>
      </c>
      <c r="AB48" s="7">
        <v>48</v>
      </c>
      <c r="AC48" s="7">
        <v>19</v>
      </c>
      <c r="AD48" s="15">
        <v>45838</v>
      </c>
      <c r="AE48" s="50">
        <v>748</v>
      </c>
      <c r="AF48" s="50"/>
      <c r="AG48" s="7" t="s">
        <v>72</v>
      </c>
      <c r="AH48" s="15">
        <v>45834</v>
      </c>
      <c r="AI48" s="7">
        <v>73176828</v>
      </c>
      <c r="AJ48" s="7" t="s">
        <v>632</v>
      </c>
      <c r="AK48" s="7" t="s">
        <v>660</v>
      </c>
      <c r="AL48" s="20">
        <v>748</v>
      </c>
      <c r="AM48" s="20"/>
      <c r="AN48" s="20" t="s">
        <v>222</v>
      </c>
      <c r="AO48" s="20"/>
      <c r="AP48" s="20"/>
      <c r="AQ48" s="20"/>
      <c r="AR48" s="20"/>
      <c r="AS48" s="20"/>
      <c r="AT48" s="20"/>
      <c r="AU48" s="20"/>
      <c r="AV48" s="20"/>
      <c r="AW48" s="15">
        <v>45833</v>
      </c>
      <c r="AX48" s="7">
        <v>4340</v>
      </c>
      <c r="BA48" s="20">
        <v>748</v>
      </c>
      <c r="BB48" s="20"/>
      <c r="BD48" s="7"/>
      <c r="CS48" s="9">
        <f t="shared" si="8"/>
        <v>748</v>
      </c>
      <c r="CT48" s="20">
        <f t="shared" si="9"/>
        <v>748</v>
      </c>
      <c r="CU48" s="20">
        <f t="shared" si="10"/>
        <v>0</v>
      </c>
      <c r="CV48" s="24">
        <f t="shared" si="11"/>
        <v>0</v>
      </c>
    </row>
    <row r="49" spans="1:100" x14ac:dyDescent="0.2">
      <c r="A49" s="7" t="s">
        <v>633</v>
      </c>
      <c r="B49" s="1">
        <v>24</v>
      </c>
      <c r="C49" s="106" t="s">
        <v>36</v>
      </c>
      <c r="D49" s="106" t="s">
        <v>37</v>
      </c>
      <c r="E49" s="105"/>
      <c r="F49" s="105"/>
      <c r="G49" s="1" t="s">
        <v>18</v>
      </c>
      <c r="H49" s="1">
        <v>4</v>
      </c>
      <c r="I49" s="18">
        <v>145.31</v>
      </c>
      <c r="J49" s="18">
        <v>42900</v>
      </c>
      <c r="K49" s="2">
        <v>0</v>
      </c>
      <c r="L49" s="2" t="s">
        <v>3</v>
      </c>
      <c r="M49" s="7" t="s">
        <v>0</v>
      </c>
      <c r="N49" s="7">
        <v>73176828</v>
      </c>
      <c r="O49" s="7" t="s">
        <v>632</v>
      </c>
      <c r="S49" s="7" t="s">
        <v>96</v>
      </c>
      <c r="T49" s="8" t="s">
        <v>18</v>
      </c>
      <c r="U49" s="8">
        <v>4</v>
      </c>
      <c r="V49" s="8">
        <v>145.31</v>
      </c>
      <c r="W49" s="8" t="s">
        <v>196</v>
      </c>
      <c r="X49" s="15">
        <v>45172</v>
      </c>
      <c r="Y49" s="15">
        <v>45172</v>
      </c>
      <c r="Z49" s="17" t="s">
        <v>201</v>
      </c>
      <c r="AA49" s="118">
        <v>41900</v>
      </c>
      <c r="AB49" s="7">
        <v>48</v>
      </c>
      <c r="AC49" s="7">
        <v>20</v>
      </c>
      <c r="AD49" s="15">
        <v>45868</v>
      </c>
      <c r="AE49" s="50">
        <v>748</v>
      </c>
      <c r="AF49" s="50"/>
      <c r="AG49" s="7" t="s">
        <v>72</v>
      </c>
      <c r="AH49" s="15">
        <v>45863</v>
      </c>
      <c r="AI49" s="7">
        <v>73176828</v>
      </c>
      <c r="AJ49" s="7" t="s">
        <v>632</v>
      </c>
      <c r="AK49" s="7" t="s">
        <v>661</v>
      </c>
      <c r="AL49" s="20">
        <v>748</v>
      </c>
      <c r="AM49" s="20"/>
      <c r="AN49" s="20" t="s">
        <v>223</v>
      </c>
      <c r="AO49" s="20"/>
      <c r="AP49" s="20"/>
      <c r="AQ49" s="20"/>
      <c r="AR49" s="20"/>
      <c r="AS49" s="20"/>
      <c r="AT49" s="20"/>
      <c r="AU49" s="20"/>
      <c r="AV49" s="20"/>
      <c r="AW49" s="15">
        <v>45863</v>
      </c>
      <c r="AX49" s="7">
        <v>4469</v>
      </c>
      <c r="BA49" s="20">
        <v>748</v>
      </c>
      <c r="BB49" s="20"/>
      <c r="BD49" s="7"/>
      <c r="CS49" s="9">
        <f t="shared" si="8"/>
        <v>748</v>
      </c>
      <c r="CT49" s="20">
        <f t="shared" si="9"/>
        <v>748</v>
      </c>
      <c r="CU49" s="20">
        <f t="shared" si="10"/>
        <v>0</v>
      </c>
      <c r="CV49" s="24">
        <f t="shared" si="11"/>
        <v>0</v>
      </c>
    </row>
    <row r="50" spans="1:100" x14ac:dyDescent="0.2">
      <c r="A50" s="7" t="s">
        <v>633</v>
      </c>
      <c r="B50" s="1">
        <v>24</v>
      </c>
      <c r="C50" s="106" t="s">
        <v>36</v>
      </c>
      <c r="D50" s="106" t="s">
        <v>37</v>
      </c>
      <c r="E50" s="105"/>
      <c r="F50" s="105"/>
      <c r="G50" s="1" t="s">
        <v>18</v>
      </c>
      <c r="H50" s="1">
        <v>4</v>
      </c>
      <c r="I50" s="18">
        <v>145.31</v>
      </c>
      <c r="J50" s="18">
        <v>42900</v>
      </c>
      <c r="K50" s="2">
        <v>0</v>
      </c>
      <c r="L50" s="2" t="s">
        <v>3</v>
      </c>
      <c r="M50" s="7" t="s">
        <v>0</v>
      </c>
      <c r="N50" s="7">
        <v>73176828</v>
      </c>
      <c r="O50" s="7" t="s">
        <v>632</v>
      </c>
      <c r="S50" s="7" t="s">
        <v>96</v>
      </c>
      <c r="T50" s="8" t="s">
        <v>18</v>
      </c>
      <c r="U50" s="8">
        <v>4</v>
      </c>
      <c r="V50" s="8">
        <v>145.31</v>
      </c>
      <c r="W50" s="8" t="s">
        <v>196</v>
      </c>
      <c r="X50" s="15">
        <v>45172</v>
      </c>
      <c r="Y50" s="15">
        <v>45172</v>
      </c>
      <c r="Z50" s="17" t="s">
        <v>201</v>
      </c>
      <c r="AA50" s="118">
        <v>41900</v>
      </c>
      <c r="AB50" s="7">
        <v>48</v>
      </c>
      <c r="AC50" s="7">
        <v>21</v>
      </c>
      <c r="AD50" s="15">
        <v>45899</v>
      </c>
      <c r="AE50" s="50">
        <v>748</v>
      </c>
      <c r="AF50" s="50"/>
      <c r="AG50" s="7" t="s">
        <v>72</v>
      </c>
      <c r="AH50" s="15">
        <v>45896</v>
      </c>
      <c r="AI50" s="7">
        <v>73176828</v>
      </c>
      <c r="AJ50" s="7" t="s">
        <v>632</v>
      </c>
      <c r="AK50" s="7" t="s">
        <v>662</v>
      </c>
      <c r="AL50" s="20">
        <v>748</v>
      </c>
      <c r="AM50" s="20"/>
      <c r="AN50" s="20" t="s">
        <v>224</v>
      </c>
      <c r="AO50" s="20"/>
      <c r="AP50" s="20"/>
      <c r="AQ50" s="20"/>
      <c r="AR50" s="20"/>
      <c r="AS50" s="20"/>
      <c r="AT50" s="20"/>
      <c r="AU50" s="20"/>
      <c r="AV50" s="20"/>
      <c r="AW50" s="15">
        <v>45895</v>
      </c>
      <c r="AX50" s="7">
        <v>4610</v>
      </c>
      <c r="BA50" s="20">
        <v>748</v>
      </c>
      <c r="BB50" s="20"/>
      <c r="BD50" s="7"/>
      <c r="CS50" s="9">
        <f t="shared" si="8"/>
        <v>748</v>
      </c>
      <c r="CT50" s="20">
        <f t="shared" si="9"/>
        <v>748</v>
      </c>
      <c r="CU50" s="20">
        <f t="shared" si="10"/>
        <v>0</v>
      </c>
      <c r="CV50" s="24">
        <f t="shared" si="11"/>
        <v>0</v>
      </c>
    </row>
    <row r="51" spans="1:100" x14ac:dyDescent="0.2">
      <c r="A51" s="7" t="s">
        <v>633</v>
      </c>
      <c r="B51" s="1">
        <v>24</v>
      </c>
      <c r="C51" s="106" t="s">
        <v>36</v>
      </c>
      <c r="D51" s="106" t="s">
        <v>37</v>
      </c>
      <c r="E51" s="105"/>
      <c r="F51" s="105"/>
      <c r="G51" s="1" t="s">
        <v>18</v>
      </c>
      <c r="H51" s="1">
        <v>4</v>
      </c>
      <c r="I51" s="18">
        <v>145.31</v>
      </c>
      <c r="J51" s="18">
        <v>42900</v>
      </c>
      <c r="K51" s="2">
        <v>0</v>
      </c>
      <c r="L51" s="2" t="s">
        <v>3</v>
      </c>
      <c r="M51" s="7" t="s">
        <v>0</v>
      </c>
      <c r="N51" s="7">
        <v>73176828</v>
      </c>
      <c r="O51" s="7" t="s">
        <v>632</v>
      </c>
      <c r="S51" s="7" t="s">
        <v>96</v>
      </c>
      <c r="T51" s="8" t="s">
        <v>18</v>
      </c>
      <c r="U51" s="8">
        <v>4</v>
      </c>
      <c r="V51" s="8">
        <v>145.31</v>
      </c>
      <c r="W51" s="8" t="s">
        <v>196</v>
      </c>
      <c r="X51" s="15">
        <v>45172</v>
      </c>
      <c r="Y51" s="15">
        <v>45172</v>
      </c>
      <c r="Z51" s="17" t="s">
        <v>201</v>
      </c>
      <c r="AA51" s="118">
        <v>41900</v>
      </c>
      <c r="AB51" s="7">
        <v>48</v>
      </c>
      <c r="AC51" s="7">
        <v>22</v>
      </c>
      <c r="AD51" s="15">
        <v>45930</v>
      </c>
      <c r="AE51" s="50">
        <v>748</v>
      </c>
      <c r="AF51" s="50"/>
      <c r="AG51" s="7" t="s">
        <v>72</v>
      </c>
      <c r="AH51" s="15">
        <v>45925</v>
      </c>
      <c r="AI51" s="7">
        <v>73176828</v>
      </c>
      <c r="AJ51" s="7" t="s">
        <v>632</v>
      </c>
      <c r="AK51" s="7" t="s">
        <v>663</v>
      </c>
      <c r="AL51" s="20">
        <v>748</v>
      </c>
      <c r="AM51" s="20"/>
      <c r="AN51" s="20" t="s">
        <v>225</v>
      </c>
      <c r="AO51" s="20"/>
      <c r="AP51" s="20"/>
      <c r="AQ51" s="20"/>
      <c r="AR51" s="20"/>
      <c r="AS51" s="20"/>
      <c r="AT51" s="20"/>
      <c r="AU51" s="20"/>
      <c r="AV51" s="20"/>
      <c r="AW51" s="15">
        <v>45925</v>
      </c>
      <c r="AX51" s="7">
        <v>4799</v>
      </c>
      <c r="BA51" s="20">
        <v>748</v>
      </c>
      <c r="BB51" s="20"/>
      <c r="BD51" s="7"/>
      <c r="CS51" s="9">
        <f t="shared" si="8"/>
        <v>748</v>
      </c>
      <c r="CT51" s="20">
        <f t="shared" si="9"/>
        <v>748</v>
      </c>
      <c r="CU51" s="20">
        <f t="shared" si="10"/>
        <v>0</v>
      </c>
      <c r="CV51" s="24">
        <f t="shared" si="11"/>
        <v>0</v>
      </c>
    </row>
    <row r="52" spans="1:100" x14ac:dyDescent="0.2">
      <c r="A52" s="7" t="s">
        <v>633</v>
      </c>
      <c r="B52" s="1">
        <v>24</v>
      </c>
      <c r="C52" s="106" t="s">
        <v>36</v>
      </c>
      <c r="D52" s="106" t="s">
        <v>37</v>
      </c>
      <c r="E52" s="105"/>
      <c r="F52" s="105"/>
      <c r="G52" s="1" t="s">
        <v>18</v>
      </c>
      <c r="H52" s="1">
        <v>4</v>
      </c>
      <c r="I52" s="18">
        <v>145.31</v>
      </c>
      <c r="J52" s="18">
        <v>42900</v>
      </c>
      <c r="K52" s="2">
        <v>0</v>
      </c>
      <c r="L52" s="2" t="s">
        <v>3</v>
      </c>
      <c r="M52" s="7" t="s">
        <v>0</v>
      </c>
      <c r="N52" s="7">
        <v>73176828</v>
      </c>
      <c r="O52" s="7" t="s">
        <v>632</v>
      </c>
      <c r="S52" s="7" t="s">
        <v>96</v>
      </c>
      <c r="T52" s="8" t="s">
        <v>18</v>
      </c>
      <c r="U52" s="8">
        <v>4</v>
      </c>
      <c r="V52" s="8">
        <v>145.31</v>
      </c>
      <c r="W52" s="8" t="s">
        <v>196</v>
      </c>
      <c r="X52" s="15">
        <v>45172</v>
      </c>
      <c r="Y52" s="15">
        <v>45172</v>
      </c>
      <c r="Z52" s="17" t="s">
        <v>201</v>
      </c>
      <c r="AA52" s="118">
        <v>41900</v>
      </c>
      <c r="AB52" s="7">
        <v>48</v>
      </c>
      <c r="AC52" s="7">
        <v>23</v>
      </c>
      <c r="AD52" s="15">
        <v>45960</v>
      </c>
      <c r="AE52" s="50">
        <v>748</v>
      </c>
      <c r="AF52" s="50"/>
      <c r="AG52" s="7" t="s">
        <v>72</v>
      </c>
      <c r="AH52" s="15">
        <v>45954</v>
      </c>
      <c r="AI52" s="7">
        <v>73176828</v>
      </c>
      <c r="AJ52" s="7" t="s">
        <v>632</v>
      </c>
      <c r="AK52" s="7" t="s">
        <v>664</v>
      </c>
      <c r="AL52" s="20">
        <v>748</v>
      </c>
      <c r="AM52" s="20"/>
      <c r="AN52" s="20" t="s">
        <v>654</v>
      </c>
      <c r="AO52" s="20"/>
      <c r="AP52" s="20"/>
      <c r="AQ52" s="20"/>
      <c r="AR52" s="20"/>
      <c r="AS52" s="20"/>
      <c r="AT52" s="20"/>
      <c r="AU52" s="20"/>
      <c r="AV52" s="20"/>
      <c r="AW52" s="15">
        <v>45954</v>
      </c>
      <c r="AX52" s="7">
        <v>4994</v>
      </c>
      <c r="BA52" s="20">
        <v>748</v>
      </c>
      <c r="BB52" s="20"/>
      <c r="BD52" s="7"/>
      <c r="CS52" s="9">
        <f t="shared" si="8"/>
        <v>748</v>
      </c>
      <c r="CT52" s="20">
        <f t="shared" si="9"/>
        <v>748</v>
      </c>
      <c r="CU52" s="20">
        <f t="shared" si="10"/>
        <v>0</v>
      </c>
      <c r="CV52" s="24">
        <f t="shared" si="11"/>
        <v>0</v>
      </c>
    </row>
    <row r="53" spans="1:100" x14ac:dyDescent="0.2">
      <c r="A53" s="7" t="s">
        <v>633</v>
      </c>
      <c r="B53" s="1">
        <v>24</v>
      </c>
      <c r="C53" s="106" t="s">
        <v>36</v>
      </c>
      <c r="D53" s="106" t="s">
        <v>37</v>
      </c>
      <c r="E53" s="105"/>
      <c r="F53" s="105"/>
      <c r="G53" s="1" t="s">
        <v>18</v>
      </c>
      <c r="H53" s="1">
        <v>4</v>
      </c>
      <c r="I53" s="18">
        <v>145.31</v>
      </c>
      <c r="J53" s="18">
        <v>42900</v>
      </c>
      <c r="K53" s="2">
        <v>0</v>
      </c>
      <c r="L53" s="2" t="s">
        <v>3</v>
      </c>
      <c r="M53" s="7" t="s">
        <v>0</v>
      </c>
      <c r="N53" s="7">
        <v>73176828</v>
      </c>
      <c r="O53" s="7" t="s">
        <v>632</v>
      </c>
      <c r="S53" s="7" t="s">
        <v>96</v>
      </c>
      <c r="T53" s="8" t="s">
        <v>18</v>
      </c>
      <c r="U53" s="8">
        <v>4</v>
      </c>
      <c r="V53" s="8">
        <v>145.31</v>
      </c>
      <c r="W53" s="8" t="s">
        <v>196</v>
      </c>
      <c r="X53" s="15">
        <v>45172</v>
      </c>
      <c r="Y53" s="15">
        <v>45172</v>
      </c>
      <c r="Z53" s="17" t="s">
        <v>201</v>
      </c>
      <c r="AA53" s="118">
        <v>41900</v>
      </c>
      <c r="AB53" s="7">
        <v>48</v>
      </c>
      <c r="AC53" s="7">
        <v>24</v>
      </c>
      <c r="AD53" s="15">
        <v>45991</v>
      </c>
      <c r="AE53" s="50">
        <v>748</v>
      </c>
      <c r="AF53" s="5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7"/>
      <c r="BA53" s="20"/>
      <c r="BB53" s="20"/>
      <c r="BD53" s="7"/>
      <c r="CS53" s="9">
        <f t="shared" si="8"/>
        <v>0</v>
      </c>
      <c r="CT53" s="20">
        <f t="shared" si="9"/>
        <v>0</v>
      </c>
      <c r="CU53" s="20">
        <f t="shared" si="10"/>
        <v>0</v>
      </c>
      <c r="CV53" s="24">
        <f t="shared" si="11"/>
        <v>748</v>
      </c>
    </row>
    <row r="54" spans="1:100" x14ac:dyDescent="0.2">
      <c r="A54" s="7" t="s">
        <v>633</v>
      </c>
      <c r="B54" s="91">
        <v>24</v>
      </c>
      <c r="C54" s="106" t="s">
        <v>36</v>
      </c>
      <c r="D54" s="106" t="s">
        <v>37</v>
      </c>
      <c r="E54" s="105"/>
      <c r="F54" s="105"/>
      <c r="G54" s="91" t="s">
        <v>18</v>
      </c>
      <c r="H54" s="91">
        <v>4</v>
      </c>
      <c r="I54" s="92">
        <v>145.31</v>
      </c>
      <c r="J54" s="92">
        <v>42900</v>
      </c>
      <c r="K54" s="93">
        <v>0</v>
      </c>
      <c r="L54" s="93" t="s">
        <v>3</v>
      </c>
      <c r="M54" s="7" t="s">
        <v>0</v>
      </c>
      <c r="N54" s="7">
        <v>73176828</v>
      </c>
      <c r="O54" s="7" t="s">
        <v>632</v>
      </c>
      <c r="S54" s="7" t="s">
        <v>96</v>
      </c>
      <c r="T54" s="8" t="s">
        <v>18</v>
      </c>
      <c r="U54" s="8">
        <v>4</v>
      </c>
      <c r="V54" s="8">
        <v>145.31</v>
      </c>
      <c r="W54" s="8" t="s">
        <v>196</v>
      </c>
      <c r="X54" s="15">
        <v>45172</v>
      </c>
      <c r="Y54" s="15">
        <v>45172</v>
      </c>
      <c r="Z54" s="17" t="s">
        <v>201</v>
      </c>
      <c r="AA54" s="118">
        <v>41900</v>
      </c>
      <c r="AB54" s="7">
        <v>48</v>
      </c>
      <c r="AC54" s="7">
        <v>25</v>
      </c>
      <c r="AD54" s="15">
        <v>46021</v>
      </c>
      <c r="AE54" s="50">
        <v>748</v>
      </c>
      <c r="AF54" s="5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7"/>
      <c r="BA54" s="20"/>
      <c r="BB54" s="20"/>
      <c r="BD54" s="7"/>
      <c r="CS54" s="9">
        <f t="shared" si="8"/>
        <v>0</v>
      </c>
      <c r="CT54" s="20">
        <f t="shared" si="9"/>
        <v>0</v>
      </c>
      <c r="CU54" s="20">
        <f t="shared" si="10"/>
        <v>0</v>
      </c>
      <c r="CV54" s="24">
        <f t="shared" si="11"/>
        <v>748</v>
      </c>
    </row>
    <row r="55" spans="1:100" s="94" customFormat="1" x14ac:dyDescent="0.2">
      <c r="A55" s="94" t="s">
        <v>633</v>
      </c>
      <c r="B55" s="1">
        <v>24</v>
      </c>
      <c r="C55" s="106" t="s">
        <v>36</v>
      </c>
      <c r="D55" s="106" t="s">
        <v>37</v>
      </c>
      <c r="E55" s="105"/>
      <c r="F55" s="105"/>
      <c r="G55" s="1" t="s">
        <v>18</v>
      </c>
      <c r="H55" s="1">
        <v>4</v>
      </c>
      <c r="I55" s="18">
        <v>145.31</v>
      </c>
      <c r="J55" s="18">
        <v>42900</v>
      </c>
      <c r="K55" s="2">
        <v>0</v>
      </c>
      <c r="L55" s="2" t="s">
        <v>3</v>
      </c>
      <c r="M55" s="94" t="s">
        <v>0</v>
      </c>
      <c r="N55" s="94">
        <v>73176828</v>
      </c>
      <c r="O55" s="94" t="s">
        <v>632</v>
      </c>
      <c r="Q55" s="96"/>
      <c r="S55" s="94" t="s">
        <v>96</v>
      </c>
      <c r="T55" s="95" t="s">
        <v>18</v>
      </c>
      <c r="U55" s="95">
        <v>4</v>
      </c>
      <c r="V55" s="95">
        <v>145.31</v>
      </c>
      <c r="W55" s="8" t="s">
        <v>196</v>
      </c>
      <c r="X55" s="97">
        <v>45172</v>
      </c>
      <c r="Y55" s="97">
        <v>45172</v>
      </c>
      <c r="Z55" s="17" t="s">
        <v>201</v>
      </c>
      <c r="AA55" s="119">
        <v>41900</v>
      </c>
      <c r="AB55" s="94">
        <v>48</v>
      </c>
      <c r="AC55" s="94">
        <v>26</v>
      </c>
      <c r="AD55" s="97">
        <v>46052</v>
      </c>
      <c r="AE55" s="98">
        <v>748</v>
      </c>
      <c r="AF55" s="98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BA55" s="99"/>
      <c r="BB55" s="99"/>
      <c r="CL55" s="7"/>
      <c r="CM55" s="7"/>
      <c r="CN55" s="7"/>
      <c r="CO55" s="7"/>
      <c r="CP55" s="7"/>
      <c r="CQ55" s="7"/>
      <c r="CR55" s="7"/>
      <c r="CS55" s="9">
        <f t="shared" si="8"/>
        <v>0</v>
      </c>
      <c r="CT55" s="20">
        <f t="shared" si="9"/>
        <v>0</v>
      </c>
      <c r="CU55" s="20">
        <f t="shared" si="10"/>
        <v>0</v>
      </c>
      <c r="CV55" s="24">
        <f t="shared" si="11"/>
        <v>748</v>
      </c>
    </row>
    <row r="56" spans="1:100" x14ac:dyDescent="0.2">
      <c r="A56" s="7" t="s">
        <v>633</v>
      </c>
      <c r="B56" s="1">
        <v>24</v>
      </c>
      <c r="C56" s="106" t="s">
        <v>36</v>
      </c>
      <c r="D56" s="106" t="s">
        <v>37</v>
      </c>
      <c r="E56" s="105"/>
      <c r="F56" s="105"/>
      <c r="G56" s="1" t="s">
        <v>18</v>
      </c>
      <c r="H56" s="1">
        <v>4</v>
      </c>
      <c r="I56" s="18">
        <v>145.31</v>
      </c>
      <c r="J56" s="18">
        <v>42900</v>
      </c>
      <c r="K56" s="2">
        <v>0</v>
      </c>
      <c r="L56" s="2" t="s">
        <v>3</v>
      </c>
      <c r="M56" s="7" t="s">
        <v>0</v>
      </c>
      <c r="N56" s="7">
        <v>73176828</v>
      </c>
      <c r="O56" s="7" t="s">
        <v>632</v>
      </c>
      <c r="S56" s="7" t="s">
        <v>96</v>
      </c>
      <c r="T56" s="8" t="s">
        <v>18</v>
      </c>
      <c r="U56" s="8">
        <v>4</v>
      </c>
      <c r="V56" s="8">
        <v>145.31</v>
      </c>
      <c r="W56" s="8" t="s">
        <v>196</v>
      </c>
      <c r="X56" s="15">
        <v>45172</v>
      </c>
      <c r="Y56" s="15">
        <v>45172</v>
      </c>
      <c r="Z56" s="17" t="s">
        <v>201</v>
      </c>
      <c r="AA56" s="118">
        <v>41900</v>
      </c>
      <c r="AB56" s="7">
        <v>48</v>
      </c>
      <c r="AC56" s="7">
        <v>27</v>
      </c>
      <c r="AD56" s="15">
        <v>46081</v>
      </c>
      <c r="AE56" s="50">
        <v>748</v>
      </c>
      <c r="AF56" s="5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7"/>
      <c r="BA56" s="20"/>
      <c r="BB56" s="20"/>
      <c r="BD56" s="7"/>
      <c r="CS56" s="9">
        <f t="shared" si="8"/>
        <v>0</v>
      </c>
      <c r="CT56" s="20">
        <f t="shared" si="9"/>
        <v>0</v>
      </c>
      <c r="CU56" s="20">
        <f t="shared" si="10"/>
        <v>0</v>
      </c>
      <c r="CV56" s="24">
        <f t="shared" si="11"/>
        <v>748</v>
      </c>
    </row>
    <row r="57" spans="1:100" x14ac:dyDescent="0.2">
      <c r="A57" s="7" t="s">
        <v>633</v>
      </c>
      <c r="B57" s="1">
        <v>24</v>
      </c>
      <c r="C57" s="106" t="s">
        <v>36</v>
      </c>
      <c r="D57" s="106" t="s">
        <v>37</v>
      </c>
      <c r="E57" s="105"/>
      <c r="F57" s="105"/>
      <c r="G57" s="1" t="s">
        <v>18</v>
      </c>
      <c r="H57" s="1">
        <v>4</v>
      </c>
      <c r="I57" s="18">
        <v>145.31</v>
      </c>
      <c r="J57" s="18">
        <v>42900</v>
      </c>
      <c r="K57" s="2">
        <v>0</v>
      </c>
      <c r="L57" s="2" t="s">
        <v>3</v>
      </c>
      <c r="M57" s="7" t="s">
        <v>0</v>
      </c>
      <c r="N57" s="7">
        <v>73176828</v>
      </c>
      <c r="O57" s="7" t="s">
        <v>632</v>
      </c>
      <c r="S57" s="7" t="s">
        <v>96</v>
      </c>
      <c r="T57" s="8" t="s">
        <v>18</v>
      </c>
      <c r="U57" s="8">
        <v>4</v>
      </c>
      <c r="V57" s="8">
        <v>145.31</v>
      </c>
      <c r="W57" s="8" t="s">
        <v>196</v>
      </c>
      <c r="X57" s="15">
        <v>45172</v>
      </c>
      <c r="Y57" s="15">
        <v>45172</v>
      </c>
      <c r="Z57" s="17" t="s">
        <v>201</v>
      </c>
      <c r="AA57" s="118">
        <v>41900</v>
      </c>
      <c r="AB57" s="7">
        <v>48</v>
      </c>
      <c r="AC57" s="7">
        <v>28</v>
      </c>
      <c r="AD57" s="15">
        <v>46111</v>
      </c>
      <c r="AE57" s="50">
        <v>748</v>
      </c>
      <c r="AF57" s="5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7"/>
      <c r="BA57" s="20"/>
      <c r="BB57" s="20"/>
      <c r="BD57" s="7"/>
      <c r="CS57" s="9">
        <f t="shared" si="8"/>
        <v>0</v>
      </c>
      <c r="CT57" s="20">
        <f t="shared" si="9"/>
        <v>0</v>
      </c>
      <c r="CU57" s="20">
        <f t="shared" si="10"/>
        <v>0</v>
      </c>
      <c r="CV57" s="24">
        <f t="shared" si="11"/>
        <v>748</v>
      </c>
    </row>
    <row r="58" spans="1:100" x14ac:dyDescent="0.2">
      <c r="A58" s="7" t="s">
        <v>633</v>
      </c>
      <c r="B58" s="1">
        <v>24</v>
      </c>
      <c r="C58" s="106" t="s">
        <v>36</v>
      </c>
      <c r="D58" s="106" t="s">
        <v>37</v>
      </c>
      <c r="E58" s="105"/>
      <c r="F58" s="105"/>
      <c r="G58" s="1" t="s">
        <v>18</v>
      </c>
      <c r="H58" s="1">
        <v>4</v>
      </c>
      <c r="I58" s="18">
        <v>145.31</v>
      </c>
      <c r="J58" s="18">
        <v>42900</v>
      </c>
      <c r="K58" s="2">
        <v>0</v>
      </c>
      <c r="L58" s="2" t="s">
        <v>3</v>
      </c>
      <c r="M58" s="7" t="s">
        <v>0</v>
      </c>
      <c r="N58" s="7">
        <v>73176828</v>
      </c>
      <c r="O58" s="7" t="s">
        <v>632</v>
      </c>
      <c r="S58" s="7" t="s">
        <v>96</v>
      </c>
      <c r="T58" s="8" t="s">
        <v>18</v>
      </c>
      <c r="U58" s="8">
        <v>4</v>
      </c>
      <c r="V58" s="8">
        <v>145.31</v>
      </c>
      <c r="W58" s="8" t="s">
        <v>196</v>
      </c>
      <c r="X58" s="15">
        <v>45172</v>
      </c>
      <c r="Y58" s="15">
        <v>45172</v>
      </c>
      <c r="Z58" s="17" t="s">
        <v>201</v>
      </c>
      <c r="AA58" s="118">
        <v>41900</v>
      </c>
      <c r="AB58" s="7">
        <v>48</v>
      </c>
      <c r="AC58" s="7">
        <v>29</v>
      </c>
      <c r="AD58" s="15">
        <v>46142</v>
      </c>
      <c r="AE58" s="50">
        <v>748</v>
      </c>
      <c r="AF58" s="5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7"/>
      <c r="BA58" s="20"/>
      <c r="BB58" s="20"/>
      <c r="BD58" s="7"/>
      <c r="CS58" s="9">
        <f t="shared" si="8"/>
        <v>0</v>
      </c>
      <c r="CT58" s="20">
        <f t="shared" si="9"/>
        <v>0</v>
      </c>
      <c r="CU58" s="20">
        <f t="shared" si="10"/>
        <v>0</v>
      </c>
      <c r="CV58" s="24">
        <f t="shared" si="11"/>
        <v>748</v>
      </c>
    </row>
    <row r="59" spans="1:100" x14ac:dyDescent="0.2">
      <c r="A59" s="7" t="s">
        <v>633</v>
      </c>
      <c r="B59" s="1">
        <v>24</v>
      </c>
      <c r="C59" s="106" t="s">
        <v>36</v>
      </c>
      <c r="D59" s="106" t="s">
        <v>37</v>
      </c>
      <c r="E59" s="105"/>
      <c r="F59" s="105"/>
      <c r="G59" s="1" t="s">
        <v>18</v>
      </c>
      <c r="H59" s="1">
        <v>4</v>
      </c>
      <c r="I59" s="18">
        <v>145.31</v>
      </c>
      <c r="J59" s="18">
        <v>42900</v>
      </c>
      <c r="K59" s="2">
        <v>0</v>
      </c>
      <c r="L59" s="2" t="s">
        <v>3</v>
      </c>
      <c r="M59" s="7" t="s">
        <v>0</v>
      </c>
      <c r="N59" s="7">
        <v>73176828</v>
      </c>
      <c r="O59" s="7" t="s">
        <v>632</v>
      </c>
      <c r="S59" s="7" t="s">
        <v>96</v>
      </c>
      <c r="T59" s="8" t="s">
        <v>18</v>
      </c>
      <c r="U59" s="8">
        <v>4</v>
      </c>
      <c r="V59" s="8">
        <v>145.31</v>
      </c>
      <c r="W59" s="8" t="s">
        <v>196</v>
      </c>
      <c r="X59" s="15">
        <v>45172</v>
      </c>
      <c r="Y59" s="15">
        <v>45172</v>
      </c>
      <c r="Z59" s="17" t="s">
        <v>201</v>
      </c>
      <c r="AA59" s="118">
        <v>41900</v>
      </c>
      <c r="AB59" s="7">
        <v>48</v>
      </c>
      <c r="AC59" s="7">
        <v>30</v>
      </c>
      <c r="AD59" s="15">
        <v>46172</v>
      </c>
      <c r="AE59" s="50">
        <v>748</v>
      </c>
      <c r="AF59" s="5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7"/>
      <c r="BA59" s="20"/>
      <c r="BB59" s="20"/>
      <c r="BD59" s="7"/>
      <c r="CS59" s="9">
        <f t="shared" si="8"/>
        <v>0</v>
      </c>
      <c r="CT59" s="20">
        <f t="shared" si="9"/>
        <v>0</v>
      </c>
      <c r="CU59" s="20">
        <f t="shared" si="10"/>
        <v>0</v>
      </c>
      <c r="CV59" s="24">
        <f t="shared" si="11"/>
        <v>748</v>
      </c>
    </row>
    <row r="60" spans="1:100" x14ac:dyDescent="0.2">
      <c r="A60" s="7" t="s">
        <v>633</v>
      </c>
      <c r="B60" s="1">
        <v>24</v>
      </c>
      <c r="C60" s="106" t="s">
        <v>36</v>
      </c>
      <c r="D60" s="106" t="s">
        <v>37</v>
      </c>
      <c r="E60" s="105"/>
      <c r="F60" s="105"/>
      <c r="G60" s="1" t="s">
        <v>18</v>
      </c>
      <c r="H60" s="1">
        <v>4</v>
      </c>
      <c r="I60" s="18">
        <v>145.31</v>
      </c>
      <c r="J60" s="18">
        <v>42900</v>
      </c>
      <c r="K60" s="2">
        <v>0</v>
      </c>
      <c r="L60" s="2" t="s">
        <v>3</v>
      </c>
      <c r="M60" s="7" t="s">
        <v>0</v>
      </c>
      <c r="N60" s="7">
        <v>73176828</v>
      </c>
      <c r="O60" s="7" t="s">
        <v>632</v>
      </c>
      <c r="S60" s="7" t="s">
        <v>96</v>
      </c>
      <c r="T60" s="8" t="s">
        <v>18</v>
      </c>
      <c r="U60" s="8">
        <v>4</v>
      </c>
      <c r="V60" s="8">
        <v>145.31</v>
      </c>
      <c r="W60" s="8" t="s">
        <v>196</v>
      </c>
      <c r="X60" s="15">
        <v>45172</v>
      </c>
      <c r="Y60" s="15">
        <v>45172</v>
      </c>
      <c r="Z60" s="17" t="s">
        <v>201</v>
      </c>
      <c r="AA60" s="118">
        <v>41900</v>
      </c>
      <c r="AB60" s="7">
        <v>48</v>
      </c>
      <c r="AC60" s="7">
        <v>31</v>
      </c>
      <c r="AD60" s="15">
        <v>46203</v>
      </c>
      <c r="AE60" s="50">
        <v>748</v>
      </c>
      <c r="AF60" s="5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7"/>
      <c r="BA60" s="20"/>
      <c r="BB60" s="20"/>
      <c r="BD60" s="7"/>
      <c r="CS60" s="9">
        <f t="shared" si="8"/>
        <v>0</v>
      </c>
      <c r="CT60" s="20">
        <f t="shared" si="9"/>
        <v>0</v>
      </c>
      <c r="CU60" s="20">
        <f t="shared" si="10"/>
        <v>0</v>
      </c>
      <c r="CV60" s="24">
        <f t="shared" si="11"/>
        <v>748</v>
      </c>
    </row>
    <row r="61" spans="1:100" x14ac:dyDescent="0.2">
      <c r="A61" s="7" t="s">
        <v>633</v>
      </c>
      <c r="B61" s="1">
        <v>24</v>
      </c>
      <c r="C61" s="106" t="s">
        <v>36</v>
      </c>
      <c r="D61" s="106" t="s">
        <v>37</v>
      </c>
      <c r="E61" s="105"/>
      <c r="F61" s="105"/>
      <c r="G61" s="1" t="s">
        <v>18</v>
      </c>
      <c r="H61" s="1">
        <v>4</v>
      </c>
      <c r="I61" s="18">
        <v>145.31</v>
      </c>
      <c r="J61" s="18">
        <v>42900</v>
      </c>
      <c r="K61" s="2">
        <v>0</v>
      </c>
      <c r="L61" s="2" t="s">
        <v>3</v>
      </c>
      <c r="M61" s="7" t="s">
        <v>0</v>
      </c>
      <c r="N61" s="7">
        <v>73176828</v>
      </c>
      <c r="O61" s="7" t="s">
        <v>632</v>
      </c>
      <c r="S61" s="7" t="s">
        <v>96</v>
      </c>
      <c r="T61" s="8" t="s">
        <v>18</v>
      </c>
      <c r="U61" s="8">
        <v>4</v>
      </c>
      <c r="V61" s="8">
        <v>145.31</v>
      </c>
      <c r="W61" s="8" t="s">
        <v>196</v>
      </c>
      <c r="X61" s="15">
        <v>45172</v>
      </c>
      <c r="Y61" s="15">
        <v>45172</v>
      </c>
      <c r="Z61" s="17" t="s">
        <v>201</v>
      </c>
      <c r="AA61" s="118">
        <v>41900</v>
      </c>
      <c r="AB61" s="7">
        <v>48</v>
      </c>
      <c r="AC61" s="7">
        <v>32</v>
      </c>
      <c r="AD61" s="15">
        <v>46233</v>
      </c>
      <c r="AE61" s="50">
        <v>748</v>
      </c>
      <c r="AF61" s="5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7"/>
      <c r="BA61" s="20"/>
      <c r="BB61" s="20"/>
      <c r="BD61" s="7"/>
      <c r="CS61" s="9">
        <f t="shared" si="8"/>
        <v>0</v>
      </c>
      <c r="CT61" s="20">
        <f t="shared" si="9"/>
        <v>0</v>
      </c>
      <c r="CU61" s="20">
        <f t="shared" si="10"/>
        <v>0</v>
      </c>
      <c r="CV61" s="24">
        <f t="shared" si="11"/>
        <v>748</v>
      </c>
    </row>
    <row r="62" spans="1:100" x14ac:dyDescent="0.2">
      <c r="A62" s="7" t="s">
        <v>633</v>
      </c>
      <c r="B62" s="1">
        <v>24</v>
      </c>
      <c r="C62" s="106" t="s">
        <v>36</v>
      </c>
      <c r="D62" s="106" t="s">
        <v>37</v>
      </c>
      <c r="E62" s="105"/>
      <c r="F62" s="105"/>
      <c r="G62" s="1" t="s">
        <v>18</v>
      </c>
      <c r="H62" s="1">
        <v>4</v>
      </c>
      <c r="I62" s="18">
        <v>145.31</v>
      </c>
      <c r="J62" s="18">
        <v>42900</v>
      </c>
      <c r="K62" s="2">
        <v>0</v>
      </c>
      <c r="L62" s="2" t="s">
        <v>3</v>
      </c>
      <c r="M62" s="7" t="s">
        <v>0</v>
      </c>
      <c r="N62" s="7">
        <v>73176828</v>
      </c>
      <c r="O62" s="7" t="s">
        <v>632</v>
      </c>
      <c r="S62" s="7" t="s">
        <v>96</v>
      </c>
      <c r="T62" s="8" t="s">
        <v>18</v>
      </c>
      <c r="U62" s="8">
        <v>4</v>
      </c>
      <c r="V62" s="8">
        <v>145.31</v>
      </c>
      <c r="W62" s="8" t="s">
        <v>196</v>
      </c>
      <c r="X62" s="15">
        <v>45172</v>
      </c>
      <c r="Y62" s="15">
        <v>45172</v>
      </c>
      <c r="Z62" s="17" t="s">
        <v>201</v>
      </c>
      <c r="AA62" s="118">
        <v>41900</v>
      </c>
      <c r="AB62" s="7">
        <v>48</v>
      </c>
      <c r="AC62" s="7">
        <v>33</v>
      </c>
      <c r="AD62" s="15">
        <v>46264</v>
      </c>
      <c r="AE62" s="50">
        <v>748</v>
      </c>
      <c r="AF62" s="5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7"/>
      <c r="BA62" s="20"/>
      <c r="BB62" s="20"/>
      <c r="BD62" s="7"/>
      <c r="CS62" s="9">
        <f t="shared" si="8"/>
        <v>0</v>
      </c>
      <c r="CT62" s="20">
        <f t="shared" si="9"/>
        <v>0</v>
      </c>
      <c r="CU62" s="20">
        <f t="shared" si="10"/>
        <v>0</v>
      </c>
      <c r="CV62" s="24">
        <f t="shared" si="11"/>
        <v>748</v>
      </c>
    </row>
    <row r="63" spans="1:100" x14ac:dyDescent="0.2">
      <c r="A63" s="7" t="s">
        <v>633</v>
      </c>
      <c r="B63" s="1">
        <v>24</v>
      </c>
      <c r="C63" s="106" t="s">
        <v>36</v>
      </c>
      <c r="D63" s="106" t="s">
        <v>37</v>
      </c>
      <c r="E63" s="105"/>
      <c r="F63" s="105"/>
      <c r="G63" s="1" t="s">
        <v>18</v>
      </c>
      <c r="H63" s="1">
        <v>4</v>
      </c>
      <c r="I63" s="18">
        <v>145.31</v>
      </c>
      <c r="J63" s="18">
        <v>42900</v>
      </c>
      <c r="K63" s="2">
        <v>0</v>
      </c>
      <c r="L63" s="2" t="s">
        <v>3</v>
      </c>
      <c r="M63" s="7" t="s">
        <v>0</v>
      </c>
      <c r="N63" s="7">
        <v>73176828</v>
      </c>
      <c r="O63" s="7" t="s">
        <v>632</v>
      </c>
      <c r="S63" s="7" t="s">
        <v>96</v>
      </c>
      <c r="T63" s="8" t="s">
        <v>18</v>
      </c>
      <c r="U63" s="8">
        <v>4</v>
      </c>
      <c r="V63" s="8">
        <v>145.31</v>
      </c>
      <c r="W63" s="8" t="s">
        <v>196</v>
      </c>
      <c r="X63" s="15">
        <v>45172</v>
      </c>
      <c r="Y63" s="15">
        <v>45172</v>
      </c>
      <c r="Z63" s="17" t="s">
        <v>201</v>
      </c>
      <c r="AA63" s="118">
        <v>41900</v>
      </c>
      <c r="AB63" s="7">
        <v>48</v>
      </c>
      <c r="AC63" s="7">
        <v>34</v>
      </c>
      <c r="AD63" s="15">
        <v>46295</v>
      </c>
      <c r="AE63" s="50">
        <v>748</v>
      </c>
      <c r="AF63" s="5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7"/>
      <c r="BA63" s="20"/>
      <c r="BB63" s="20"/>
      <c r="BD63" s="7"/>
      <c r="CS63" s="9">
        <f t="shared" si="8"/>
        <v>0</v>
      </c>
      <c r="CT63" s="20">
        <f t="shared" si="9"/>
        <v>0</v>
      </c>
      <c r="CU63" s="20">
        <f t="shared" si="10"/>
        <v>0</v>
      </c>
      <c r="CV63" s="24">
        <f t="shared" si="11"/>
        <v>748</v>
      </c>
    </row>
    <row r="64" spans="1:100" x14ac:dyDescent="0.2">
      <c r="A64" s="7" t="s">
        <v>633</v>
      </c>
      <c r="B64" s="1">
        <v>24</v>
      </c>
      <c r="C64" s="106" t="s">
        <v>36</v>
      </c>
      <c r="D64" s="106" t="s">
        <v>37</v>
      </c>
      <c r="E64" s="105"/>
      <c r="F64" s="105"/>
      <c r="G64" s="1" t="s">
        <v>18</v>
      </c>
      <c r="H64" s="1">
        <v>4</v>
      </c>
      <c r="I64" s="18">
        <v>145.31</v>
      </c>
      <c r="J64" s="18">
        <v>42900</v>
      </c>
      <c r="K64" s="2">
        <v>0</v>
      </c>
      <c r="L64" s="2" t="s">
        <v>3</v>
      </c>
      <c r="M64" s="7" t="s">
        <v>0</v>
      </c>
      <c r="N64" s="7">
        <v>73176828</v>
      </c>
      <c r="O64" s="7" t="s">
        <v>632</v>
      </c>
      <c r="S64" s="7" t="s">
        <v>96</v>
      </c>
      <c r="T64" s="8" t="s">
        <v>18</v>
      </c>
      <c r="U64" s="8">
        <v>4</v>
      </c>
      <c r="V64" s="8">
        <v>145.31</v>
      </c>
      <c r="W64" s="8" t="s">
        <v>196</v>
      </c>
      <c r="X64" s="15">
        <v>45172</v>
      </c>
      <c r="Y64" s="15">
        <v>45172</v>
      </c>
      <c r="Z64" s="17" t="s">
        <v>201</v>
      </c>
      <c r="AA64" s="118">
        <v>41900</v>
      </c>
      <c r="AB64" s="7">
        <v>48</v>
      </c>
      <c r="AC64" s="7">
        <v>35</v>
      </c>
      <c r="AD64" s="15">
        <v>46325</v>
      </c>
      <c r="AE64" s="50">
        <v>748</v>
      </c>
      <c r="AF64" s="5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7"/>
      <c r="BA64" s="20"/>
      <c r="BB64" s="20"/>
      <c r="BD64" s="7"/>
      <c r="CS64" s="9">
        <f t="shared" si="8"/>
        <v>0</v>
      </c>
      <c r="CT64" s="20">
        <f t="shared" si="9"/>
        <v>0</v>
      </c>
      <c r="CU64" s="20">
        <f t="shared" si="10"/>
        <v>0</v>
      </c>
      <c r="CV64" s="24">
        <f t="shared" si="11"/>
        <v>748</v>
      </c>
    </row>
    <row r="65" spans="1:100" x14ac:dyDescent="0.2">
      <c r="A65" s="7" t="s">
        <v>633</v>
      </c>
      <c r="B65" s="1">
        <v>24</v>
      </c>
      <c r="C65" s="106" t="s">
        <v>36</v>
      </c>
      <c r="D65" s="106" t="s">
        <v>37</v>
      </c>
      <c r="E65" s="105"/>
      <c r="F65" s="105"/>
      <c r="G65" s="1" t="s">
        <v>18</v>
      </c>
      <c r="H65" s="1">
        <v>4</v>
      </c>
      <c r="I65" s="18">
        <v>145.31</v>
      </c>
      <c r="J65" s="18">
        <v>42900</v>
      </c>
      <c r="K65" s="2">
        <v>0</v>
      </c>
      <c r="L65" s="2" t="s">
        <v>3</v>
      </c>
      <c r="M65" s="7" t="s">
        <v>0</v>
      </c>
      <c r="N65" s="7">
        <v>73176828</v>
      </c>
      <c r="O65" s="7" t="s">
        <v>632</v>
      </c>
      <c r="S65" s="7" t="s">
        <v>96</v>
      </c>
      <c r="T65" s="8" t="s">
        <v>18</v>
      </c>
      <c r="U65" s="8">
        <v>4</v>
      </c>
      <c r="V65" s="8">
        <v>145.31</v>
      </c>
      <c r="W65" s="8" t="s">
        <v>196</v>
      </c>
      <c r="X65" s="15">
        <v>45172</v>
      </c>
      <c r="Y65" s="15">
        <v>45172</v>
      </c>
      <c r="Z65" s="17" t="s">
        <v>201</v>
      </c>
      <c r="AA65" s="118">
        <v>41900</v>
      </c>
      <c r="AB65" s="7">
        <v>48</v>
      </c>
      <c r="AC65" s="7">
        <v>36</v>
      </c>
      <c r="AD65" s="15">
        <v>46356</v>
      </c>
      <c r="AE65" s="50">
        <v>748</v>
      </c>
      <c r="AF65" s="5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7"/>
      <c r="BA65" s="20"/>
      <c r="BB65" s="20"/>
      <c r="BD65" s="7"/>
      <c r="CS65" s="9">
        <f t="shared" si="8"/>
        <v>0</v>
      </c>
      <c r="CT65" s="20">
        <f t="shared" si="9"/>
        <v>0</v>
      </c>
      <c r="CU65" s="20">
        <f t="shared" si="10"/>
        <v>0</v>
      </c>
      <c r="CV65" s="24">
        <f t="shared" si="11"/>
        <v>748</v>
      </c>
    </row>
    <row r="66" spans="1:100" x14ac:dyDescent="0.2">
      <c r="A66" s="7" t="s">
        <v>633</v>
      </c>
      <c r="B66" s="1">
        <v>24</v>
      </c>
      <c r="C66" s="106" t="s">
        <v>36</v>
      </c>
      <c r="D66" s="106" t="s">
        <v>37</v>
      </c>
      <c r="E66" s="105"/>
      <c r="F66" s="105"/>
      <c r="G66" s="1" t="s">
        <v>18</v>
      </c>
      <c r="H66" s="1">
        <v>4</v>
      </c>
      <c r="I66" s="18">
        <v>145.31</v>
      </c>
      <c r="J66" s="18">
        <v>42900</v>
      </c>
      <c r="K66" s="2">
        <v>0</v>
      </c>
      <c r="L66" s="2" t="s">
        <v>3</v>
      </c>
      <c r="M66" s="7" t="s">
        <v>0</v>
      </c>
      <c r="N66" s="7">
        <v>73176828</v>
      </c>
      <c r="O66" s="7" t="s">
        <v>632</v>
      </c>
      <c r="S66" s="7" t="s">
        <v>96</v>
      </c>
      <c r="T66" s="8" t="s">
        <v>18</v>
      </c>
      <c r="U66" s="8">
        <v>4</v>
      </c>
      <c r="V66" s="8">
        <v>145.31</v>
      </c>
      <c r="W66" s="8" t="s">
        <v>196</v>
      </c>
      <c r="X66" s="15">
        <v>45172</v>
      </c>
      <c r="Y66" s="15">
        <v>45172</v>
      </c>
      <c r="Z66" s="17" t="s">
        <v>201</v>
      </c>
      <c r="AA66" s="118">
        <v>41900</v>
      </c>
      <c r="AB66" s="7">
        <v>48</v>
      </c>
      <c r="AC66" s="7">
        <v>37</v>
      </c>
      <c r="AD66" s="15">
        <v>46386</v>
      </c>
      <c r="AE66" s="50">
        <v>748</v>
      </c>
      <c r="AF66" s="5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7"/>
      <c r="BA66" s="20"/>
      <c r="BB66" s="20"/>
      <c r="BD66" s="7"/>
      <c r="CS66" s="9">
        <f t="shared" si="8"/>
        <v>0</v>
      </c>
      <c r="CT66" s="20">
        <f t="shared" si="9"/>
        <v>0</v>
      </c>
      <c r="CU66" s="20">
        <f t="shared" si="10"/>
        <v>0</v>
      </c>
      <c r="CV66" s="24">
        <f t="shared" si="11"/>
        <v>748</v>
      </c>
    </row>
    <row r="67" spans="1:100" x14ac:dyDescent="0.2">
      <c r="A67" s="7" t="s">
        <v>633</v>
      </c>
      <c r="B67" s="1">
        <v>24</v>
      </c>
      <c r="C67" s="106" t="s">
        <v>36</v>
      </c>
      <c r="D67" s="106" t="s">
        <v>37</v>
      </c>
      <c r="E67" s="105"/>
      <c r="F67" s="105"/>
      <c r="G67" s="1" t="s">
        <v>18</v>
      </c>
      <c r="H67" s="1">
        <v>4</v>
      </c>
      <c r="I67" s="18">
        <v>145.31</v>
      </c>
      <c r="J67" s="18">
        <v>42900</v>
      </c>
      <c r="K67" s="2">
        <v>0</v>
      </c>
      <c r="L67" s="2" t="s">
        <v>3</v>
      </c>
      <c r="M67" s="7" t="s">
        <v>0</v>
      </c>
      <c r="N67" s="7">
        <v>73176828</v>
      </c>
      <c r="O67" s="7" t="s">
        <v>632</v>
      </c>
      <c r="S67" s="7" t="s">
        <v>96</v>
      </c>
      <c r="T67" s="8" t="s">
        <v>18</v>
      </c>
      <c r="U67" s="8">
        <v>4</v>
      </c>
      <c r="V67" s="8">
        <v>145.31</v>
      </c>
      <c r="W67" s="8" t="s">
        <v>196</v>
      </c>
      <c r="X67" s="15">
        <v>45172</v>
      </c>
      <c r="Y67" s="15">
        <v>45172</v>
      </c>
      <c r="Z67" s="17" t="s">
        <v>201</v>
      </c>
      <c r="AA67" s="118">
        <v>41900</v>
      </c>
      <c r="AB67" s="7">
        <v>48</v>
      </c>
      <c r="AC67" s="7">
        <v>38</v>
      </c>
      <c r="AD67" s="15">
        <v>46417</v>
      </c>
      <c r="AE67" s="50">
        <v>748</v>
      </c>
      <c r="AF67" s="5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7"/>
      <c r="BA67" s="20"/>
      <c r="BB67" s="20"/>
      <c r="BD67" s="7"/>
      <c r="CS67" s="9">
        <f t="shared" si="8"/>
        <v>0</v>
      </c>
      <c r="CT67" s="20">
        <f t="shared" si="9"/>
        <v>0</v>
      </c>
      <c r="CU67" s="20">
        <f t="shared" si="10"/>
        <v>0</v>
      </c>
      <c r="CV67" s="24">
        <f t="shared" si="11"/>
        <v>748</v>
      </c>
    </row>
    <row r="68" spans="1:100" x14ac:dyDescent="0.2">
      <c r="A68" s="7" t="s">
        <v>633</v>
      </c>
      <c r="B68" s="1">
        <v>24</v>
      </c>
      <c r="C68" s="106" t="s">
        <v>36</v>
      </c>
      <c r="D68" s="106" t="s">
        <v>37</v>
      </c>
      <c r="E68" s="105"/>
      <c r="F68" s="105"/>
      <c r="G68" s="1" t="s">
        <v>18</v>
      </c>
      <c r="H68" s="1">
        <v>4</v>
      </c>
      <c r="I68" s="18">
        <v>145.31</v>
      </c>
      <c r="J68" s="18">
        <v>42900</v>
      </c>
      <c r="K68" s="2">
        <v>0</v>
      </c>
      <c r="L68" s="2" t="s">
        <v>3</v>
      </c>
      <c r="M68" s="7" t="s">
        <v>0</v>
      </c>
      <c r="N68" s="7">
        <v>73176828</v>
      </c>
      <c r="O68" s="7" t="s">
        <v>632</v>
      </c>
      <c r="S68" s="7" t="s">
        <v>96</v>
      </c>
      <c r="T68" s="8" t="s">
        <v>18</v>
      </c>
      <c r="U68" s="8">
        <v>4</v>
      </c>
      <c r="V68" s="8">
        <v>145.31</v>
      </c>
      <c r="W68" s="8" t="s">
        <v>196</v>
      </c>
      <c r="X68" s="15">
        <v>45172</v>
      </c>
      <c r="Y68" s="15">
        <v>45172</v>
      </c>
      <c r="Z68" s="17" t="s">
        <v>201</v>
      </c>
      <c r="AA68" s="118">
        <v>41900</v>
      </c>
      <c r="AB68" s="7">
        <v>48</v>
      </c>
      <c r="AC68" s="7">
        <v>39</v>
      </c>
      <c r="AD68" s="15">
        <v>46446</v>
      </c>
      <c r="AE68" s="50">
        <v>748</v>
      </c>
      <c r="AF68" s="5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7"/>
      <c r="BA68" s="20"/>
      <c r="BB68" s="20"/>
      <c r="BD68" s="7"/>
      <c r="CS68" s="9">
        <f t="shared" si="8"/>
        <v>0</v>
      </c>
      <c r="CT68" s="20">
        <f t="shared" si="9"/>
        <v>0</v>
      </c>
      <c r="CU68" s="20">
        <f t="shared" si="10"/>
        <v>0</v>
      </c>
      <c r="CV68" s="24">
        <f t="shared" si="11"/>
        <v>748</v>
      </c>
    </row>
    <row r="69" spans="1:100" x14ac:dyDescent="0.2">
      <c r="A69" s="7" t="s">
        <v>633</v>
      </c>
      <c r="B69" s="1">
        <v>24</v>
      </c>
      <c r="C69" s="106" t="s">
        <v>36</v>
      </c>
      <c r="D69" s="106" t="s">
        <v>37</v>
      </c>
      <c r="E69" s="105"/>
      <c r="F69" s="105"/>
      <c r="G69" s="1" t="s">
        <v>18</v>
      </c>
      <c r="H69" s="1">
        <v>4</v>
      </c>
      <c r="I69" s="18">
        <v>145.31</v>
      </c>
      <c r="J69" s="18">
        <v>42900</v>
      </c>
      <c r="K69" s="2">
        <v>0</v>
      </c>
      <c r="L69" s="2" t="s">
        <v>3</v>
      </c>
      <c r="M69" s="7" t="s">
        <v>0</v>
      </c>
      <c r="N69" s="7">
        <v>73176828</v>
      </c>
      <c r="O69" s="7" t="s">
        <v>632</v>
      </c>
      <c r="S69" s="7" t="s">
        <v>96</v>
      </c>
      <c r="T69" s="8" t="s">
        <v>18</v>
      </c>
      <c r="U69" s="8">
        <v>4</v>
      </c>
      <c r="V69" s="8">
        <v>145.31</v>
      </c>
      <c r="W69" s="8" t="s">
        <v>196</v>
      </c>
      <c r="X69" s="15">
        <v>45172</v>
      </c>
      <c r="Y69" s="15">
        <v>45172</v>
      </c>
      <c r="Z69" s="17" t="s">
        <v>201</v>
      </c>
      <c r="AA69" s="118">
        <v>41900</v>
      </c>
      <c r="AB69" s="7">
        <v>48</v>
      </c>
      <c r="AC69" s="7">
        <v>40</v>
      </c>
      <c r="AD69" s="15">
        <v>46476</v>
      </c>
      <c r="AE69" s="50">
        <v>748</v>
      </c>
      <c r="AF69" s="5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7"/>
      <c r="BA69" s="20"/>
      <c r="BB69" s="20"/>
      <c r="BD69" s="7"/>
      <c r="CS69" s="9">
        <f t="shared" si="8"/>
        <v>0</v>
      </c>
      <c r="CT69" s="20">
        <f t="shared" si="9"/>
        <v>0</v>
      </c>
      <c r="CU69" s="20">
        <f t="shared" si="10"/>
        <v>0</v>
      </c>
      <c r="CV69" s="24">
        <f t="shared" si="11"/>
        <v>748</v>
      </c>
    </row>
    <row r="70" spans="1:100" x14ac:dyDescent="0.2">
      <c r="A70" s="7" t="s">
        <v>633</v>
      </c>
      <c r="B70" s="1">
        <v>24</v>
      </c>
      <c r="C70" s="106" t="s">
        <v>36</v>
      </c>
      <c r="D70" s="106" t="s">
        <v>37</v>
      </c>
      <c r="E70" s="105"/>
      <c r="F70" s="105"/>
      <c r="G70" s="1" t="s">
        <v>18</v>
      </c>
      <c r="H70" s="1">
        <v>4</v>
      </c>
      <c r="I70" s="18">
        <v>145.31</v>
      </c>
      <c r="J70" s="18">
        <v>42900</v>
      </c>
      <c r="K70" s="2">
        <v>0</v>
      </c>
      <c r="L70" s="2" t="s">
        <v>3</v>
      </c>
      <c r="M70" s="7" t="s">
        <v>0</v>
      </c>
      <c r="N70" s="7">
        <v>73176828</v>
      </c>
      <c r="O70" s="7" t="s">
        <v>632</v>
      </c>
      <c r="S70" s="7" t="s">
        <v>96</v>
      </c>
      <c r="T70" s="8" t="s">
        <v>18</v>
      </c>
      <c r="U70" s="8">
        <v>4</v>
      </c>
      <c r="V70" s="8">
        <v>145.31</v>
      </c>
      <c r="W70" s="8" t="s">
        <v>196</v>
      </c>
      <c r="X70" s="15">
        <v>45172</v>
      </c>
      <c r="Y70" s="15">
        <v>45172</v>
      </c>
      <c r="Z70" s="17" t="s">
        <v>201</v>
      </c>
      <c r="AA70" s="118">
        <v>41900</v>
      </c>
      <c r="AB70" s="7">
        <v>48</v>
      </c>
      <c r="AC70" s="7">
        <v>41</v>
      </c>
      <c r="AD70" s="15">
        <v>46507</v>
      </c>
      <c r="AE70" s="50">
        <v>748</v>
      </c>
      <c r="AF70" s="5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7"/>
      <c r="BA70" s="20"/>
      <c r="BB70" s="20"/>
      <c r="BD70" s="7"/>
      <c r="CS70" s="9">
        <f t="shared" si="8"/>
        <v>0</v>
      </c>
      <c r="CT70" s="20">
        <f t="shared" si="9"/>
        <v>0</v>
      </c>
      <c r="CU70" s="20">
        <f t="shared" si="10"/>
        <v>0</v>
      </c>
      <c r="CV70" s="24">
        <f t="shared" si="11"/>
        <v>748</v>
      </c>
    </row>
    <row r="71" spans="1:100" x14ac:dyDescent="0.2">
      <c r="A71" s="7" t="s">
        <v>633</v>
      </c>
      <c r="B71" s="1">
        <v>24</v>
      </c>
      <c r="C71" s="106" t="s">
        <v>36</v>
      </c>
      <c r="D71" s="106" t="s">
        <v>37</v>
      </c>
      <c r="E71" s="105"/>
      <c r="F71" s="105"/>
      <c r="G71" s="1" t="s">
        <v>18</v>
      </c>
      <c r="H71" s="1">
        <v>4</v>
      </c>
      <c r="I71" s="18">
        <v>145.31</v>
      </c>
      <c r="J71" s="18">
        <v>42900</v>
      </c>
      <c r="K71" s="2">
        <v>0</v>
      </c>
      <c r="L71" s="2" t="s">
        <v>3</v>
      </c>
      <c r="M71" s="7" t="s">
        <v>0</v>
      </c>
      <c r="N71" s="7">
        <v>73176828</v>
      </c>
      <c r="O71" s="7" t="s">
        <v>632</v>
      </c>
      <c r="S71" s="7" t="s">
        <v>96</v>
      </c>
      <c r="T71" s="8" t="s">
        <v>18</v>
      </c>
      <c r="U71" s="8">
        <v>4</v>
      </c>
      <c r="V71" s="8">
        <v>145.31</v>
      </c>
      <c r="W71" s="8" t="s">
        <v>196</v>
      </c>
      <c r="X71" s="15">
        <v>45172</v>
      </c>
      <c r="Y71" s="15">
        <v>45172</v>
      </c>
      <c r="Z71" s="17" t="s">
        <v>201</v>
      </c>
      <c r="AA71" s="118">
        <v>41900</v>
      </c>
      <c r="AB71" s="7">
        <v>48</v>
      </c>
      <c r="AC71" s="7">
        <v>42</v>
      </c>
      <c r="AD71" s="15">
        <v>46537</v>
      </c>
      <c r="AE71" s="50">
        <v>748</v>
      </c>
      <c r="AF71" s="5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7"/>
      <c r="BA71" s="20"/>
      <c r="BB71" s="20"/>
      <c r="BD71" s="7"/>
      <c r="CS71" s="9">
        <f t="shared" si="8"/>
        <v>0</v>
      </c>
      <c r="CT71" s="20">
        <f t="shared" si="9"/>
        <v>0</v>
      </c>
      <c r="CU71" s="20">
        <f t="shared" si="10"/>
        <v>0</v>
      </c>
      <c r="CV71" s="24">
        <f t="shared" si="11"/>
        <v>748</v>
      </c>
    </row>
    <row r="72" spans="1:100" x14ac:dyDescent="0.2">
      <c r="A72" s="7" t="s">
        <v>633</v>
      </c>
      <c r="B72" s="1">
        <v>24</v>
      </c>
      <c r="C72" s="106" t="s">
        <v>36</v>
      </c>
      <c r="D72" s="106" t="s">
        <v>37</v>
      </c>
      <c r="E72" s="105"/>
      <c r="F72" s="105"/>
      <c r="G72" s="1" t="s">
        <v>18</v>
      </c>
      <c r="H72" s="1">
        <v>4</v>
      </c>
      <c r="I72" s="18">
        <v>145.31</v>
      </c>
      <c r="J72" s="18">
        <v>42900</v>
      </c>
      <c r="K72" s="2">
        <v>0</v>
      </c>
      <c r="L72" s="2" t="s">
        <v>3</v>
      </c>
      <c r="M72" s="7" t="s">
        <v>0</v>
      </c>
      <c r="N72" s="7">
        <v>73176828</v>
      </c>
      <c r="O72" s="7" t="s">
        <v>632</v>
      </c>
      <c r="S72" s="7" t="s">
        <v>96</v>
      </c>
      <c r="T72" s="8" t="s">
        <v>18</v>
      </c>
      <c r="U72" s="8">
        <v>4</v>
      </c>
      <c r="V72" s="8">
        <v>145.31</v>
      </c>
      <c r="W72" s="8" t="s">
        <v>196</v>
      </c>
      <c r="X72" s="15">
        <v>45172</v>
      </c>
      <c r="Y72" s="15">
        <v>45172</v>
      </c>
      <c r="Z72" s="17" t="s">
        <v>201</v>
      </c>
      <c r="AA72" s="118">
        <v>41900</v>
      </c>
      <c r="AB72" s="7">
        <v>48</v>
      </c>
      <c r="AC72" s="7">
        <v>43</v>
      </c>
      <c r="AD72" s="15">
        <v>46568</v>
      </c>
      <c r="AE72" s="50">
        <v>748</v>
      </c>
      <c r="AF72" s="5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7"/>
      <c r="BA72" s="20"/>
      <c r="BB72" s="20"/>
      <c r="BD72" s="7"/>
      <c r="CS72" s="9">
        <f t="shared" si="8"/>
        <v>0</v>
      </c>
      <c r="CT72" s="20">
        <f t="shared" si="9"/>
        <v>0</v>
      </c>
      <c r="CU72" s="20">
        <f t="shared" si="10"/>
        <v>0</v>
      </c>
      <c r="CV72" s="24">
        <f t="shared" si="11"/>
        <v>748</v>
      </c>
    </row>
    <row r="73" spans="1:100" x14ac:dyDescent="0.2">
      <c r="A73" s="7" t="s">
        <v>633</v>
      </c>
      <c r="B73" s="1">
        <v>24</v>
      </c>
      <c r="C73" s="106" t="s">
        <v>36</v>
      </c>
      <c r="D73" s="106" t="s">
        <v>37</v>
      </c>
      <c r="E73" s="105"/>
      <c r="F73" s="105"/>
      <c r="G73" s="1" t="s">
        <v>18</v>
      </c>
      <c r="H73" s="1">
        <v>4</v>
      </c>
      <c r="I73" s="18">
        <v>145.31</v>
      </c>
      <c r="J73" s="18">
        <v>42900</v>
      </c>
      <c r="K73" s="2">
        <v>0</v>
      </c>
      <c r="L73" s="2" t="s">
        <v>3</v>
      </c>
      <c r="M73" s="7" t="s">
        <v>0</v>
      </c>
      <c r="N73" s="7">
        <v>73176828</v>
      </c>
      <c r="O73" s="7" t="s">
        <v>632</v>
      </c>
      <c r="S73" s="7" t="s">
        <v>96</v>
      </c>
      <c r="T73" s="8" t="s">
        <v>18</v>
      </c>
      <c r="U73" s="8">
        <v>4</v>
      </c>
      <c r="V73" s="8">
        <v>145.31</v>
      </c>
      <c r="W73" s="8" t="s">
        <v>196</v>
      </c>
      <c r="X73" s="15">
        <v>45172</v>
      </c>
      <c r="Y73" s="15">
        <v>45172</v>
      </c>
      <c r="Z73" s="17" t="s">
        <v>201</v>
      </c>
      <c r="AA73" s="118">
        <v>41900</v>
      </c>
      <c r="AB73" s="7">
        <v>48</v>
      </c>
      <c r="AC73" s="7">
        <v>44</v>
      </c>
      <c r="AD73" s="15">
        <v>46598</v>
      </c>
      <c r="AE73" s="50">
        <v>748</v>
      </c>
      <c r="AF73" s="5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7"/>
      <c r="BA73" s="20"/>
      <c r="BB73" s="20"/>
      <c r="BD73" s="7"/>
      <c r="CS73" s="9">
        <f t="shared" si="8"/>
        <v>0</v>
      </c>
      <c r="CT73" s="20">
        <f t="shared" si="9"/>
        <v>0</v>
      </c>
      <c r="CU73" s="20">
        <f t="shared" si="10"/>
        <v>0</v>
      </c>
      <c r="CV73" s="24">
        <f t="shared" si="11"/>
        <v>748</v>
      </c>
    </row>
    <row r="74" spans="1:100" x14ac:dyDescent="0.2">
      <c r="A74" s="7" t="s">
        <v>633</v>
      </c>
      <c r="B74" s="1">
        <v>24</v>
      </c>
      <c r="C74" s="106" t="s">
        <v>36</v>
      </c>
      <c r="D74" s="106" t="s">
        <v>37</v>
      </c>
      <c r="E74" s="105"/>
      <c r="F74" s="105"/>
      <c r="G74" s="1" t="s">
        <v>18</v>
      </c>
      <c r="H74" s="1">
        <v>4</v>
      </c>
      <c r="I74" s="18">
        <v>145.31</v>
      </c>
      <c r="J74" s="18">
        <v>42900</v>
      </c>
      <c r="K74" s="2">
        <v>0</v>
      </c>
      <c r="L74" s="2" t="s">
        <v>3</v>
      </c>
      <c r="M74" s="7" t="s">
        <v>0</v>
      </c>
      <c r="N74" s="7">
        <v>73176828</v>
      </c>
      <c r="O74" s="7" t="s">
        <v>632</v>
      </c>
      <c r="S74" s="7" t="s">
        <v>96</v>
      </c>
      <c r="T74" s="8" t="s">
        <v>18</v>
      </c>
      <c r="U74" s="8">
        <v>4</v>
      </c>
      <c r="V74" s="8">
        <v>145.31</v>
      </c>
      <c r="W74" s="8" t="s">
        <v>196</v>
      </c>
      <c r="X74" s="15">
        <v>45172</v>
      </c>
      <c r="Y74" s="15">
        <v>45172</v>
      </c>
      <c r="Z74" s="17" t="s">
        <v>201</v>
      </c>
      <c r="AA74" s="118">
        <v>41900</v>
      </c>
      <c r="AB74" s="7">
        <v>48</v>
      </c>
      <c r="AC74" s="7">
        <v>45</v>
      </c>
      <c r="AD74" s="15">
        <v>46629</v>
      </c>
      <c r="AE74" s="50">
        <v>748</v>
      </c>
      <c r="AF74" s="5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7"/>
      <c r="BA74" s="20"/>
      <c r="BB74" s="20"/>
      <c r="BD74" s="7"/>
      <c r="CS74" s="9">
        <f t="shared" si="8"/>
        <v>0</v>
      </c>
      <c r="CT74" s="20">
        <f t="shared" si="9"/>
        <v>0</v>
      </c>
      <c r="CU74" s="20">
        <f t="shared" si="10"/>
        <v>0</v>
      </c>
      <c r="CV74" s="24">
        <f t="shared" si="11"/>
        <v>748</v>
      </c>
    </row>
    <row r="75" spans="1:100" x14ac:dyDescent="0.2">
      <c r="A75" s="7" t="s">
        <v>633</v>
      </c>
      <c r="B75" s="1">
        <v>24</v>
      </c>
      <c r="C75" s="106" t="s">
        <v>36</v>
      </c>
      <c r="D75" s="106" t="s">
        <v>37</v>
      </c>
      <c r="E75" s="105"/>
      <c r="F75" s="105"/>
      <c r="G75" s="1" t="s">
        <v>18</v>
      </c>
      <c r="H75" s="1">
        <v>4</v>
      </c>
      <c r="I75" s="18">
        <v>145.31</v>
      </c>
      <c r="J75" s="18">
        <v>42900</v>
      </c>
      <c r="K75" s="2">
        <v>0</v>
      </c>
      <c r="L75" s="2" t="s">
        <v>3</v>
      </c>
      <c r="M75" s="7" t="s">
        <v>0</v>
      </c>
      <c r="N75" s="7">
        <v>73176828</v>
      </c>
      <c r="O75" s="7" t="s">
        <v>632</v>
      </c>
      <c r="S75" s="7" t="s">
        <v>96</v>
      </c>
      <c r="T75" s="8" t="s">
        <v>18</v>
      </c>
      <c r="U75" s="8">
        <v>4</v>
      </c>
      <c r="V75" s="8">
        <v>145.31</v>
      </c>
      <c r="W75" s="8" t="s">
        <v>196</v>
      </c>
      <c r="X75" s="15">
        <v>45172</v>
      </c>
      <c r="Y75" s="15">
        <v>45172</v>
      </c>
      <c r="Z75" s="17" t="s">
        <v>201</v>
      </c>
      <c r="AA75" s="118">
        <v>41900</v>
      </c>
      <c r="AB75" s="7">
        <v>48</v>
      </c>
      <c r="AC75" s="7">
        <v>46</v>
      </c>
      <c r="AD75" s="15">
        <v>46660</v>
      </c>
      <c r="AE75" s="50">
        <v>748</v>
      </c>
      <c r="AF75" s="5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7"/>
      <c r="BA75" s="20"/>
      <c r="BB75" s="20"/>
      <c r="BD75" s="7"/>
      <c r="CS75" s="9">
        <f t="shared" si="8"/>
        <v>0</v>
      </c>
      <c r="CT75" s="20">
        <f t="shared" si="9"/>
        <v>0</v>
      </c>
      <c r="CU75" s="20">
        <f t="shared" si="10"/>
        <v>0</v>
      </c>
      <c r="CV75" s="24">
        <f t="shared" si="11"/>
        <v>748</v>
      </c>
    </row>
    <row r="76" spans="1:100" x14ac:dyDescent="0.2">
      <c r="A76" s="7" t="s">
        <v>633</v>
      </c>
      <c r="B76" s="1">
        <v>24</v>
      </c>
      <c r="C76" s="106" t="s">
        <v>36</v>
      </c>
      <c r="D76" s="106" t="s">
        <v>37</v>
      </c>
      <c r="E76" s="105"/>
      <c r="F76" s="105"/>
      <c r="G76" s="1" t="s">
        <v>18</v>
      </c>
      <c r="H76" s="1">
        <v>4</v>
      </c>
      <c r="I76" s="18">
        <v>145.31</v>
      </c>
      <c r="J76" s="18">
        <v>42900</v>
      </c>
      <c r="K76" s="2">
        <v>0</v>
      </c>
      <c r="L76" s="2" t="s">
        <v>3</v>
      </c>
      <c r="M76" s="7" t="s">
        <v>0</v>
      </c>
      <c r="N76" s="7">
        <v>73176828</v>
      </c>
      <c r="O76" s="7" t="s">
        <v>632</v>
      </c>
      <c r="S76" s="7" t="s">
        <v>96</v>
      </c>
      <c r="T76" s="8" t="s">
        <v>18</v>
      </c>
      <c r="U76" s="8">
        <v>4</v>
      </c>
      <c r="V76" s="8">
        <v>145.31</v>
      </c>
      <c r="W76" s="8" t="s">
        <v>196</v>
      </c>
      <c r="X76" s="15">
        <v>45172</v>
      </c>
      <c r="Y76" s="15">
        <v>45172</v>
      </c>
      <c r="Z76" s="17" t="s">
        <v>201</v>
      </c>
      <c r="AA76" s="118">
        <v>41900</v>
      </c>
      <c r="AB76" s="7">
        <v>48</v>
      </c>
      <c r="AC76" s="7">
        <v>47</v>
      </c>
      <c r="AD76" s="15">
        <v>46690</v>
      </c>
      <c r="AE76" s="50">
        <v>748</v>
      </c>
      <c r="AF76" s="5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7"/>
      <c r="BA76" s="20"/>
      <c r="BB76" s="20"/>
      <c r="BD76" s="7"/>
      <c r="CS76" s="9">
        <f t="shared" si="8"/>
        <v>0</v>
      </c>
      <c r="CT76" s="20">
        <f t="shared" si="9"/>
        <v>0</v>
      </c>
      <c r="CU76" s="20">
        <f t="shared" si="10"/>
        <v>0</v>
      </c>
      <c r="CV76" s="24">
        <f t="shared" si="11"/>
        <v>748</v>
      </c>
    </row>
    <row r="77" spans="1:100" x14ac:dyDescent="0.2">
      <c r="A77" s="7" t="s">
        <v>633</v>
      </c>
      <c r="B77" s="1">
        <v>24</v>
      </c>
      <c r="C77" s="106" t="s">
        <v>36</v>
      </c>
      <c r="D77" s="106" t="s">
        <v>37</v>
      </c>
      <c r="E77" s="105"/>
      <c r="F77" s="105"/>
      <c r="G77" s="1" t="s">
        <v>18</v>
      </c>
      <c r="H77" s="1">
        <v>4</v>
      </c>
      <c r="I77" s="18">
        <v>145.31</v>
      </c>
      <c r="J77" s="18">
        <v>42900</v>
      </c>
      <c r="K77" s="2">
        <v>0</v>
      </c>
      <c r="L77" s="2" t="s">
        <v>3</v>
      </c>
      <c r="M77" s="7" t="s">
        <v>0</v>
      </c>
      <c r="N77" s="7">
        <v>73176828</v>
      </c>
      <c r="O77" s="7" t="s">
        <v>632</v>
      </c>
      <c r="S77" s="7" t="s">
        <v>96</v>
      </c>
      <c r="T77" s="8" t="s">
        <v>18</v>
      </c>
      <c r="U77" s="8">
        <v>4</v>
      </c>
      <c r="V77" s="8">
        <v>145.31</v>
      </c>
      <c r="W77" s="8" t="s">
        <v>196</v>
      </c>
      <c r="X77" s="15">
        <v>45172</v>
      </c>
      <c r="Y77" s="15">
        <v>45172</v>
      </c>
      <c r="Z77" s="17" t="s">
        <v>201</v>
      </c>
      <c r="AA77" s="118">
        <v>41900</v>
      </c>
      <c r="AB77" s="7">
        <v>48</v>
      </c>
      <c r="AC77" s="7">
        <v>48</v>
      </c>
      <c r="AD77" s="15">
        <v>46721</v>
      </c>
      <c r="AE77" s="50">
        <v>744</v>
      </c>
      <c r="AF77" s="5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15"/>
      <c r="BA77" s="20"/>
      <c r="BB77" s="20"/>
      <c r="BD77" s="7"/>
      <c r="CS77" s="9">
        <f t="shared" si="8"/>
        <v>0</v>
      </c>
      <c r="CT77" s="20">
        <f t="shared" si="9"/>
        <v>0</v>
      </c>
      <c r="CU77" s="20">
        <f t="shared" si="10"/>
        <v>0</v>
      </c>
      <c r="CV77" s="24">
        <f t="shared" si="11"/>
        <v>744</v>
      </c>
    </row>
    <row r="78" spans="1:100" x14ac:dyDescent="0.2">
      <c r="A78" s="7" t="s">
        <v>633</v>
      </c>
      <c r="B78" s="1">
        <v>24</v>
      </c>
      <c r="C78" s="106" t="s">
        <v>36</v>
      </c>
      <c r="D78" s="106" t="s">
        <v>37</v>
      </c>
      <c r="E78" s="105"/>
      <c r="F78" s="105"/>
      <c r="G78" s="1" t="s">
        <v>18</v>
      </c>
      <c r="H78" s="1">
        <v>4</v>
      </c>
      <c r="I78" s="18">
        <v>145.31</v>
      </c>
      <c r="J78" s="18">
        <v>42900</v>
      </c>
      <c r="K78" s="2">
        <v>0</v>
      </c>
      <c r="L78" s="2" t="s">
        <v>3</v>
      </c>
      <c r="M78" s="7" t="s">
        <v>0</v>
      </c>
      <c r="N78" s="7">
        <v>73176828</v>
      </c>
      <c r="O78" s="7" t="s">
        <v>632</v>
      </c>
      <c r="S78" s="7" t="s">
        <v>665</v>
      </c>
      <c r="V78" s="8">
        <v>12.5</v>
      </c>
      <c r="W78" s="8" t="s">
        <v>196</v>
      </c>
      <c r="X78" s="15">
        <v>45940</v>
      </c>
      <c r="Y78" s="15">
        <v>45933</v>
      </c>
      <c r="Z78" s="17" t="s">
        <v>201</v>
      </c>
      <c r="AA78" s="118">
        <v>5000</v>
      </c>
      <c r="AB78" s="7"/>
      <c r="AC78" s="7">
        <v>0</v>
      </c>
      <c r="AD78" s="15">
        <v>45928</v>
      </c>
      <c r="AE78" s="50">
        <v>28.32</v>
      </c>
      <c r="AF78" s="50"/>
      <c r="AH78" s="15">
        <v>45928</v>
      </c>
      <c r="AI78" s="7">
        <v>73176828</v>
      </c>
      <c r="AJ78" s="7" t="s">
        <v>632</v>
      </c>
      <c r="AK78" s="7" t="s">
        <v>666</v>
      </c>
      <c r="AL78" s="20">
        <v>28.32</v>
      </c>
      <c r="AM78" s="20"/>
      <c r="AN78" s="20" t="s">
        <v>226</v>
      </c>
      <c r="AO78" s="20"/>
      <c r="AP78" s="20"/>
      <c r="AQ78" s="20"/>
      <c r="AR78" s="20"/>
      <c r="AS78" s="20"/>
      <c r="AT78" s="20"/>
      <c r="AU78" s="20"/>
      <c r="AV78" s="20"/>
      <c r="AW78" s="15">
        <v>45928</v>
      </c>
      <c r="AX78" s="7" t="s">
        <v>669</v>
      </c>
      <c r="AY78" s="7">
        <v>100</v>
      </c>
      <c r="AZ78" s="7">
        <v>3.53</v>
      </c>
      <c r="BA78" s="20">
        <f>+AY78/AZ78</f>
        <v>28.328611898016998</v>
      </c>
      <c r="BB78" s="20" t="s">
        <v>670</v>
      </c>
      <c r="BD78" s="7"/>
      <c r="CS78" s="9">
        <f t="shared" si="8"/>
        <v>28.32</v>
      </c>
      <c r="CT78" s="20">
        <f t="shared" si="9"/>
        <v>28.328611898016998</v>
      </c>
      <c r="CU78" s="20">
        <f>+CS78-CT78</f>
        <v>-8.6118980169977988E-3</v>
      </c>
      <c r="CV78" s="24">
        <f t="shared" si="11"/>
        <v>0</v>
      </c>
    </row>
    <row r="79" spans="1:100" x14ac:dyDescent="0.2">
      <c r="A79" s="7" t="s">
        <v>633</v>
      </c>
      <c r="B79" s="1">
        <v>24</v>
      </c>
      <c r="C79" s="106" t="s">
        <v>36</v>
      </c>
      <c r="D79" s="106" t="s">
        <v>37</v>
      </c>
      <c r="E79" s="105"/>
      <c r="F79" s="105"/>
      <c r="G79" s="1" t="s">
        <v>18</v>
      </c>
      <c r="H79" s="1">
        <v>4</v>
      </c>
      <c r="I79" s="18">
        <v>145.31</v>
      </c>
      <c r="J79" s="18">
        <v>42900</v>
      </c>
      <c r="K79" s="2">
        <v>0</v>
      </c>
      <c r="L79" s="2" t="s">
        <v>3</v>
      </c>
      <c r="M79" s="7" t="s">
        <v>0</v>
      </c>
      <c r="N79" s="7">
        <v>73176828</v>
      </c>
      <c r="O79" s="7" t="s">
        <v>632</v>
      </c>
      <c r="S79" s="7" t="s">
        <v>665</v>
      </c>
      <c r="V79" s="8">
        <v>12.5</v>
      </c>
      <c r="W79" s="8" t="s">
        <v>196</v>
      </c>
      <c r="X79" s="15">
        <v>45940</v>
      </c>
      <c r="Y79" s="15">
        <v>45933</v>
      </c>
      <c r="Z79" s="17" t="s">
        <v>201</v>
      </c>
      <c r="AA79" s="118">
        <v>5000</v>
      </c>
      <c r="AB79" s="7"/>
      <c r="AC79" s="7">
        <v>0</v>
      </c>
      <c r="AD79" s="15">
        <v>45933</v>
      </c>
      <c r="AE79" s="50">
        <v>471.68</v>
      </c>
      <c r="AF79" s="50"/>
      <c r="AH79" s="15">
        <v>45933</v>
      </c>
      <c r="AI79" s="7">
        <v>73176828</v>
      </c>
      <c r="AJ79" s="7" t="s">
        <v>632</v>
      </c>
      <c r="AK79" s="7" t="s">
        <v>667</v>
      </c>
      <c r="AL79" s="20">
        <v>471.68</v>
      </c>
      <c r="AM79" s="20"/>
      <c r="AN79" s="20" t="s">
        <v>652</v>
      </c>
      <c r="AO79" s="20"/>
      <c r="AP79" s="20"/>
      <c r="AQ79" s="20"/>
      <c r="AR79" s="20"/>
      <c r="AS79" s="20"/>
      <c r="AT79" s="20"/>
      <c r="AU79" s="20"/>
      <c r="AV79" s="20"/>
      <c r="AW79" s="15">
        <v>45933</v>
      </c>
      <c r="AX79" s="7">
        <v>4860</v>
      </c>
      <c r="BA79" s="20">
        <v>471.68</v>
      </c>
      <c r="BB79" s="20" t="s">
        <v>670</v>
      </c>
      <c r="BD79" s="7"/>
      <c r="CS79" s="9">
        <f t="shared" si="8"/>
        <v>471.68</v>
      </c>
      <c r="CT79" s="20">
        <f t="shared" si="9"/>
        <v>471.68</v>
      </c>
      <c r="CU79" s="20">
        <f t="shared" si="10"/>
        <v>0</v>
      </c>
      <c r="CV79" s="24">
        <f t="shared" si="11"/>
        <v>0</v>
      </c>
    </row>
    <row r="80" spans="1:100" x14ac:dyDescent="0.2">
      <c r="A80" s="7" t="s">
        <v>633</v>
      </c>
      <c r="B80" s="1">
        <v>24</v>
      </c>
      <c r="C80" s="106" t="s">
        <v>36</v>
      </c>
      <c r="D80" s="106" t="s">
        <v>37</v>
      </c>
      <c r="E80" s="105"/>
      <c r="F80" s="105"/>
      <c r="G80" s="1" t="s">
        <v>18</v>
      </c>
      <c r="H80" s="1">
        <v>4</v>
      </c>
      <c r="I80" s="18">
        <v>145.31</v>
      </c>
      <c r="J80" s="18">
        <v>42900</v>
      </c>
      <c r="K80" s="2">
        <v>0</v>
      </c>
      <c r="L80" s="2" t="s">
        <v>3</v>
      </c>
      <c r="M80" s="7" t="s">
        <v>0</v>
      </c>
      <c r="N80" s="7">
        <v>73176828</v>
      </c>
      <c r="O80" s="7" t="s">
        <v>632</v>
      </c>
      <c r="S80" s="7" t="s">
        <v>665</v>
      </c>
      <c r="V80" s="8">
        <v>12.5</v>
      </c>
      <c r="W80" s="8" t="s">
        <v>196</v>
      </c>
      <c r="X80" s="15">
        <v>45940</v>
      </c>
      <c r="Y80" s="15">
        <v>45933</v>
      </c>
      <c r="Z80" s="17" t="s">
        <v>201</v>
      </c>
      <c r="AA80" s="118">
        <v>5000</v>
      </c>
      <c r="AB80" s="7"/>
      <c r="AC80" s="7">
        <v>1</v>
      </c>
      <c r="AD80" s="15">
        <v>45940</v>
      </c>
      <c r="AE80" s="50">
        <v>4500</v>
      </c>
      <c r="AF80" s="50"/>
      <c r="AH80" s="15">
        <v>45940</v>
      </c>
      <c r="AI80" s="7">
        <v>73176828</v>
      </c>
      <c r="AJ80" s="7" t="s">
        <v>632</v>
      </c>
      <c r="AK80" s="7" t="s">
        <v>668</v>
      </c>
      <c r="AL80" s="20">
        <v>4500</v>
      </c>
      <c r="AM80" s="20"/>
      <c r="AN80" s="20" t="s">
        <v>653</v>
      </c>
      <c r="AO80" s="20"/>
      <c r="AP80" s="20"/>
      <c r="AQ80" s="20"/>
      <c r="AR80" s="20"/>
      <c r="AS80" s="20"/>
      <c r="AT80" s="20"/>
      <c r="AU80" s="20"/>
      <c r="AV80" s="20"/>
      <c r="AW80" s="15">
        <v>45940</v>
      </c>
      <c r="AX80" s="7">
        <v>4916</v>
      </c>
      <c r="BA80" s="20">
        <f>7890-4500</f>
        <v>3390</v>
      </c>
      <c r="BB80" s="20" t="s">
        <v>670</v>
      </c>
      <c r="BC80" s="15">
        <v>45940</v>
      </c>
      <c r="BD80" s="7" t="s">
        <v>671</v>
      </c>
      <c r="BG80" s="7">
        <v>1110</v>
      </c>
      <c r="CS80" s="9">
        <f t="shared" si="8"/>
        <v>4500</v>
      </c>
      <c r="CT80" s="20">
        <f t="shared" si="9"/>
        <v>4500</v>
      </c>
      <c r="CU80" s="20">
        <f t="shared" si="10"/>
        <v>0</v>
      </c>
      <c r="CV80" s="24">
        <f t="shared" si="11"/>
        <v>0</v>
      </c>
    </row>
    <row r="81" spans="1:100" x14ac:dyDescent="0.2">
      <c r="A81" s="7" t="s">
        <v>811</v>
      </c>
      <c r="B81" s="1">
        <v>140</v>
      </c>
      <c r="C81" s="2" t="s">
        <v>36</v>
      </c>
      <c r="D81" s="2" t="s">
        <v>37</v>
      </c>
      <c r="E81" s="1"/>
      <c r="F81" s="1"/>
      <c r="G81" s="1" t="s">
        <v>27</v>
      </c>
      <c r="H81" s="1">
        <v>3</v>
      </c>
      <c r="I81" s="18">
        <v>120.12</v>
      </c>
      <c r="J81" s="18">
        <v>35900</v>
      </c>
      <c r="K81" s="2">
        <v>0</v>
      </c>
      <c r="L81" s="2" t="s">
        <v>3</v>
      </c>
      <c r="M81" s="7" t="s">
        <v>0</v>
      </c>
      <c r="N81" s="7" t="s">
        <v>5</v>
      </c>
      <c r="O81" s="7" t="s">
        <v>810</v>
      </c>
      <c r="S81" s="7" t="s">
        <v>96</v>
      </c>
      <c r="T81" s="107" t="s">
        <v>27</v>
      </c>
      <c r="U81" s="107">
        <v>3</v>
      </c>
      <c r="V81" s="107">
        <v>120.12</v>
      </c>
      <c r="W81" s="8" t="s">
        <v>196</v>
      </c>
      <c r="X81" s="15">
        <v>44699</v>
      </c>
      <c r="Y81" s="15">
        <v>44944</v>
      </c>
      <c r="Z81" s="17" t="s">
        <v>201</v>
      </c>
      <c r="AA81" s="118">
        <v>32000</v>
      </c>
      <c r="AB81" s="7">
        <v>12</v>
      </c>
      <c r="AC81" s="7">
        <v>0</v>
      </c>
      <c r="AD81" s="15">
        <v>44699</v>
      </c>
      <c r="AE81" s="50">
        <v>2000</v>
      </c>
      <c r="AF81" s="50"/>
      <c r="AH81" s="15">
        <v>44699</v>
      </c>
      <c r="AI81" s="7">
        <v>45086870</v>
      </c>
      <c r="AJ81" s="7" t="s">
        <v>845</v>
      </c>
      <c r="AK81" s="7" t="s">
        <v>829</v>
      </c>
      <c r="AL81" s="20">
        <v>2000</v>
      </c>
      <c r="AM81" s="20"/>
      <c r="AN81" s="20" t="s">
        <v>813</v>
      </c>
      <c r="AO81" s="20"/>
      <c r="AP81" s="7"/>
      <c r="AQ81" s="7"/>
      <c r="AR81" s="7"/>
      <c r="AS81" s="7"/>
      <c r="AT81" s="7"/>
      <c r="AU81" s="7"/>
      <c r="AV81" s="7"/>
      <c r="AW81" s="15">
        <v>44700</v>
      </c>
      <c r="AX81" s="7">
        <v>651</v>
      </c>
      <c r="BA81" s="20">
        <v>2000</v>
      </c>
      <c r="BB81" s="20"/>
      <c r="BD81" s="7"/>
      <c r="CS81" s="20">
        <f t="shared" si="8"/>
        <v>2000</v>
      </c>
      <c r="CT81" s="20">
        <f t="shared" si="9"/>
        <v>2000</v>
      </c>
      <c r="CU81" s="20">
        <f t="shared" si="10"/>
        <v>0</v>
      </c>
      <c r="CV81" s="24">
        <f t="shared" si="11"/>
        <v>0</v>
      </c>
    </row>
    <row r="82" spans="1:100" x14ac:dyDescent="0.2">
      <c r="A82" s="7" t="s">
        <v>811</v>
      </c>
      <c r="B82" s="1">
        <v>140</v>
      </c>
      <c r="C82" s="2" t="s">
        <v>36</v>
      </c>
      <c r="D82" s="2" t="s">
        <v>37</v>
      </c>
      <c r="E82" s="1"/>
      <c r="F82" s="1"/>
      <c r="G82" s="1" t="s">
        <v>27</v>
      </c>
      <c r="H82" s="1">
        <v>3</v>
      </c>
      <c r="I82" s="18">
        <v>120.12</v>
      </c>
      <c r="J82" s="18">
        <v>35900</v>
      </c>
      <c r="K82" s="2">
        <v>0</v>
      </c>
      <c r="L82" s="2" t="s">
        <v>3</v>
      </c>
      <c r="M82" s="7" t="s">
        <v>0</v>
      </c>
      <c r="N82" s="7" t="s">
        <v>5</v>
      </c>
      <c r="O82" s="7" t="s">
        <v>810</v>
      </c>
      <c r="S82" s="7" t="s">
        <v>96</v>
      </c>
      <c r="T82" s="107" t="s">
        <v>27</v>
      </c>
      <c r="U82" s="107">
        <v>3</v>
      </c>
      <c r="V82" s="107">
        <v>120.12</v>
      </c>
      <c r="W82" s="8" t="s">
        <v>196</v>
      </c>
      <c r="X82" s="15">
        <v>44699</v>
      </c>
      <c r="Y82" s="15">
        <v>44944</v>
      </c>
      <c r="Z82" s="17" t="s">
        <v>201</v>
      </c>
      <c r="AA82" s="118">
        <v>32000</v>
      </c>
      <c r="AB82" s="7">
        <v>12</v>
      </c>
      <c r="AC82" s="7">
        <v>0</v>
      </c>
      <c r="AD82" s="15">
        <v>44700</v>
      </c>
      <c r="AE82" s="50">
        <v>3000</v>
      </c>
      <c r="AF82" s="50"/>
      <c r="AH82" s="15">
        <v>44699</v>
      </c>
      <c r="AI82" s="7">
        <v>45086870</v>
      </c>
      <c r="AJ82" s="7" t="s">
        <v>845</v>
      </c>
      <c r="AK82" s="7" t="s">
        <v>830</v>
      </c>
      <c r="AL82" s="20">
        <v>2000</v>
      </c>
      <c r="AM82" s="20"/>
      <c r="AN82" s="20" t="s">
        <v>814</v>
      </c>
      <c r="AO82" s="15" t="s">
        <v>72</v>
      </c>
      <c r="AP82" s="15">
        <v>44700</v>
      </c>
      <c r="AQ82" s="7">
        <v>45086870</v>
      </c>
      <c r="AR82" s="7" t="s">
        <v>845</v>
      </c>
      <c r="AS82" s="7" t="s">
        <v>831</v>
      </c>
      <c r="AT82" s="20">
        <v>1000</v>
      </c>
      <c r="AU82" s="7"/>
      <c r="AV82" s="20" t="s">
        <v>815</v>
      </c>
      <c r="AW82" s="15">
        <v>44699</v>
      </c>
      <c r="AX82" s="7">
        <v>647</v>
      </c>
      <c r="BA82" s="20">
        <v>2000</v>
      </c>
      <c r="BB82" s="20"/>
      <c r="BC82" s="15">
        <v>44700</v>
      </c>
      <c r="BD82" s="7">
        <v>649</v>
      </c>
      <c r="BG82" s="20">
        <v>1000</v>
      </c>
      <c r="CS82" s="20">
        <f t="shared" si="8"/>
        <v>3000</v>
      </c>
      <c r="CT82" s="20">
        <f t="shared" si="9"/>
        <v>3000</v>
      </c>
      <c r="CU82" s="20">
        <f t="shared" si="10"/>
        <v>0</v>
      </c>
      <c r="CV82" s="24">
        <f t="shared" si="11"/>
        <v>0</v>
      </c>
    </row>
    <row r="83" spans="1:100" x14ac:dyDescent="0.2">
      <c r="A83" s="7" t="s">
        <v>811</v>
      </c>
      <c r="B83" s="1">
        <v>140</v>
      </c>
      <c r="C83" s="2" t="s">
        <v>36</v>
      </c>
      <c r="D83" s="2" t="s">
        <v>37</v>
      </c>
      <c r="E83" s="1"/>
      <c r="F83" s="1"/>
      <c r="G83" s="1" t="s">
        <v>27</v>
      </c>
      <c r="H83" s="1">
        <v>3</v>
      </c>
      <c r="I83" s="18">
        <v>120.12</v>
      </c>
      <c r="J83" s="18">
        <v>35900</v>
      </c>
      <c r="K83" s="2">
        <v>0</v>
      </c>
      <c r="L83" s="2" t="s">
        <v>3</v>
      </c>
      <c r="M83" s="7" t="s">
        <v>0</v>
      </c>
      <c r="N83" s="7" t="s">
        <v>5</v>
      </c>
      <c r="O83" s="7" t="s">
        <v>810</v>
      </c>
      <c r="S83" s="7" t="s">
        <v>96</v>
      </c>
      <c r="T83" s="107" t="s">
        <v>27</v>
      </c>
      <c r="U83" s="107">
        <v>3</v>
      </c>
      <c r="V83" s="107">
        <v>120.12</v>
      </c>
      <c r="W83" s="8" t="s">
        <v>196</v>
      </c>
      <c r="X83" s="15">
        <v>44699</v>
      </c>
      <c r="Y83" s="15">
        <v>44944</v>
      </c>
      <c r="Z83" s="17" t="s">
        <v>201</v>
      </c>
      <c r="AA83" s="118">
        <v>32000</v>
      </c>
      <c r="AB83" s="7">
        <v>12</v>
      </c>
      <c r="AC83" s="7">
        <v>1</v>
      </c>
      <c r="AD83" s="15">
        <v>44757</v>
      </c>
      <c r="AE83" s="50">
        <v>1000</v>
      </c>
      <c r="AF83" s="50"/>
      <c r="AH83" s="15">
        <v>44756</v>
      </c>
      <c r="AI83" s="7">
        <v>45086870</v>
      </c>
      <c r="AJ83" s="7" t="s">
        <v>845</v>
      </c>
      <c r="AK83" s="7" t="s">
        <v>834</v>
      </c>
      <c r="AL83" s="20">
        <v>1000</v>
      </c>
      <c r="AM83" s="20"/>
      <c r="AN83" s="20" t="s">
        <v>818</v>
      </c>
      <c r="AO83" s="7"/>
      <c r="AP83" s="7"/>
      <c r="AQ83" s="7"/>
      <c r="AR83" s="7"/>
      <c r="AS83" s="7"/>
      <c r="AT83" s="7"/>
      <c r="AU83" s="7"/>
      <c r="AV83" s="7"/>
      <c r="AW83" s="15">
        <v>44755</v>
      </c>
      <c r="AX83" s="7">
        <v>792</v>
      </c>
      <c r="BA83" s="7">
        <v>1000</v>
      </c>
      <c r="BB83" s="20"/>
      <c r="BD83" s="7"/>
      <c r="CS83" s="20">
        <f t="shared" si="8"/>
        <v>1000</v>
      </c>
      <c r="CT83" s="20">
        <f t="shared" si="9"/>
        <v>1000</v>
      </c>
      <c r="CU83" s="20">
        <f t="shared" si="10"/>
        <v>0</v>
      </c>
      <c r="CV83" s="24">
        <f t="shared" si="11"/>
        <v>0</v>
      </c>
    </row>
    <row r="84" spans="1:100" x14ac:dyDescent="0.2">
      <c r="A84" s="7" t="s">
        <v>811</v>
      </c>
      <c r="B84" s="1">
        <v>140</v>
      </c>
      <c r="C84" s="2" t="s">
        <v>36</v>
      </c>
      <c r="D84" s="2" t="s">
        <v>37</v>
      </c>
      <c r="E84" s="1"/>
      <c r="F84" s="1"/>
      <c r="G84" s="1" t="s">
        <v>27</v>
      </c>
      <c r="H84" s="1">
        <v>3</v>
      </c>
      <c r="I84" s="18">
        <v>120.12</v>
      </c>
      <c r="J84" s="18">
        <v>35900</v>
      </c>
      <c r="K84" s="2">
        <v>0</v>
      </c>
      <c r="L84" s="2" t="s">
        <v>3</v>
      </c>
      <c r="M84" s="7" t="s">
        <v>0</v>
      </c>
      <c r="N84" s="7" t="s">
        <v>5</v>
      </c>
      <c r="O84" s="7" t="s">
        <v>810</v>
      </c>
      <c r="S84" s="7" t="s">
        <v>96</v>
      </c>
      <c r="T84" s="107" t="s">
        <v>27</v>
      </c>
      <c r="U84" s="107">
        <v>3</v>
      </c>
      <c r="V84" s="107">
        <v>120.12</v>
      </c>
      <c r="W84" s="8" t="s">
        <v>196</v>
      </c>
      <c r="X84" s="15">
        <v>44699</v>
      </c>
      <c r="Y84" s="15">
        <v>44944</v>
      </c>
      <c r="Z84" s="17" t="s">
        <v>201</v>
      </c>
      <c r="AA84" s="118">
        <v>32000</v>
      </c>
      <c r="AB84" s="7">
        <v>12</v>
      </c>
      <c r="AC84" s="7">
        <v>2</v>
      </c>
      <c r="AD84" s="15">
        <v>44788</v>
      </c>
      <c r="AE84" s="50">
        <v>1000</v>
      </c>
      <c r="AF84" s="50"/>
      <c r="AH84" s="15">
        <v>44790</v>
      </c>
      <c r="AI84" s="7">
        <v>45086870</v>
      </c>
      <c r="AJ84" s="7" t="s">
        <v>845</v>
      </c>
      <c r="AK84" s="7" t="s">
        <v>836</v>
      </c>
      <c r="AL84" s="20">
        <v>1000</v>
      </c>
      <c r="AM84" s="20"/>
      <c r="AN84" s="20" t="s">
        <v>820</v>
      </c>
      <c r="AO84" s="20"/>
      <c r="AP84" s="7"/>
      <c r="AQ84" s="7"/>
      <c r="AR84" s="7"/>
      <c r="AS84" s="7"/>
      <c r="AT84" s="7"/>
      <c r="AU84" s="7"/>
      <c r="AV84" s="7"/>
      <c r="AW84" s="15">
        <v>44784</v>
      </c>
      <c r="AX84" s="7">
        <v>845</v>
      </c>
      <c r="BA84" s="20">
        <v>1000</v>
      </c>
      <c r="BB84" s="20"/>
      <c r="BD84" s="7"/>
      <c r="CS84" s="20">
        <f t="shared" si="8"/>
        <v>1000</v>
      </c>
      <c r="CT84" s="20">
        <f t="shared" si="9"/>
        <v>1000</v>
      </c>
      <c r="CU84" s="20">
        <f t="shared" si="10"/>
        <v>0</v>
      </c>
      <c r="CV84" s="24">
        <f t="shared" si="11"/>
        <v>0</v>
      </c>
    </row>
    <row r="85" spans="1:100" x14ac:dyDescent="0.2">
      <c r="A85" s="7" t="s">
        <v>811</v>
      </c>
      <c r="B85" s="1">
        <v>140</v>
      </c>
      <c r="C85" s="2" t="s">
        <v>36</v>
      </c>
      <c r="D85" s="2" t="s">
        <v>37</v>
      </c>
      <c r="E85" s="1"/>
      <c r="F85" s="1"/>
      <c r="G85" s="1" t="s">
        <v>27</v>
      </c>
      <c r="H85" s="1">
        <v>3</v>
      </c>
      <c r="I85" s="18">
        <v>120.12</v>
      </c>
      <c r="J85" s="18">
        <v>35900</v>
      </c>
      <c r="K85" s="2">
        <v>0</v>
      </c>
      <c r="L85" s="2" t="s">
        <v>3</v>
      </c>
      <c r="M85" s="7" t="s">
        <v>0</v>
      </c>
      <c r="N85" s="7" t="s">
        <v>5</v>
      </c>
      <c r="O85" s="7" t="s">
        <v>810</v>
      </c>
      <c r="S85" s="7" t="s">
        <v>96</v>
      </c>
      <c r="T85" s="107" t="s">
        <v>27</v>
      </c>
      <c r="U85" s="107">
        <v>3</v>
      </c>
      <c r="V85" s="107">
        <v>120.12</v>
      </c>
      <c r="W85" s="8" t="s">
        <v>196</v>
      </c>
      <c r="X85" s="15">
        <v>44699</v>
      </c>
      <c r="Y85" s="15">
        <v>44944</v>
      </c>
      <c r="Z85" s="17" t="s">
        <v>201</v>
      </c>
      <c r="AA85" s="118">
        <v>32000</v>
      </c>
      <c r="AB85" s="7">
        <v>12</v>
      </c>
      <c r="AC85" s="7">
        <v>3</v>
      </c>
      <c r="AD85" s="15">
        <v>44819</v>
      </c>
      <c r="AE85" s="50">
        <v>1000</v>
      </c>
      <c r="AF85" s="50"/>
      <c r="AH85" s="15">
        <v>44818</v>
      </c>
      <c r="AI85" s="7">
        <v>45086870</v>
      </c>
      <c r="AJ85" s="7" t="s">
        <v>845</v>
      </c>
      <c r="AK85" s="7" t="s">
        <v>837</v>
      </c>
      <c r="AL85" s="20">
        <v>1000</v>
      </c>
      <c r="AM85" s="20"/>
      <c r="AN85" s="20" t="s">
        <v>821</v>
      </c>
      <c r="AO85" s="20"/>
      <c r="AP85" s="7"/>
      <c r="AQ85" s="20"/>
      <c r="AR85" s="20"/>
      <c r="AS85" s="7"/>
      <c r="AT85" s="7"/>
      <c r="AU85" s="7"/>
      <c r="AV85" s="7"/>
      <c r="AW85" s="15">
        <v>44815</v>
      </c>
      <c r="AX85" s="7">
        <v>940</v>
      </c>
      <c r="BA85" s="20">
        <v>1000</v>
      </c>
      <c r="BB85" s="20"/>
      <c r="BD85" s="7"/>
      <c r="CS85" s="20">
        <f t="shared" si="8"/>
        <v>1000</v>
      </c>
      <c r="CT85" s="20">
        <f t="shared" si="9"/>
        <v>1000</v>
      </c>
      <c r="CU85" s="20">
        <f t="shared" si="10"/>
        <v>0</v>
      </c>
      <c r="CV85" s="24">
        <f t="shared" si="11"/>
        <v>0</v>
      </c>
    </row>
    <row r="86" spans="1:100" x14ac:dyDescent="0.2">
      <c r="A86" s="7" t="s">
        <v>811</v>
      </c>
      <c r="B86" s="1">
        <v>140</v>
      </c>
      <c r="C86" s="2" t="s">
        <v>36</v>
      </c>
      <c r="D86" s="2" t="s">
        <v>37</v>
      </c>
      <c r="E86" s="1"/>
      <c r="F86" s="1"/>
      <c r="G86" s="1" t="s">
        <v>27</v>
      </c>
      <c r="H86" s="1">
        <v>3</v>
      </c>
      <c r="I86" s="18">
        <v>120.12</v>
      </c>
      <c r="J86" s="18">
        <v>35900</v>
      </c>
      <c r="K86" s="2">
        <v>0</v>
      </c>
      <c r="L86" s="2" t="s">
        <v>3</v>
      </c>
      <c r="M86" s="7" t="s">
        <v>0</v>
      </c>
      <c r="N86" s="7" t="s">
        <v>5</v>
      </c>
      <c r="O86" s="7" t="s">
        <v>810</v>
      </c>
      <c r="S86" s="7" t="s">
        <v>96</v>
      </c>
      <c r="T86" s="107" t="s">
        <v>27</v>
      </c>
      <c r="U86" s="107">
        <v>3</v>
      </c>
      <c r="V86" s="107">
        <v>120.12</v>
      </c>
      <c r="W86" s="8" t="s">
        <v>196</v>
      </c>
      <c r="X86" s="15">
        <v>44699</v>
      </c>
      <c r="Y86" s="15">
        <v>44944</v>
      </c>
      <c r="Z86" s="17" t="s">
        <v>201</v>
      </c>
      <c r="AA86" s="118">
        <v>32000</v>
      </c>
      <c r="AB86" s="7">
        <v>12</v>
      </c>
      <c r="AC86" s="7">
        <v>4</v>
      </c>
      <c r="AD86" s="15">
        <v>44849</v>
      </c>
      <c r="AE86" s="50">
        <v>1000</v>
      </c>
      <c r="AF86" s="50"/>
      <c r="AH86" s="15">
        <v>44849</v>
      </c>
      <c r="AI86" s="7">
        <v>45086870</v>
      </c>
      <c r="AJ86" s="7" t="s">
        <v>845</v>
      </c>
      <c r="AK86" s="7" t="s">
        <v>840</v>
      </c>
      <c r="AL86" s="20">
        <v>1000</v>
      </c>
      <c r="AM86" s="20"/>
      <c r="AN86" s="20" t="s">
        <v>824</v>
      </c>
      <c r="AO86" s="20"/>
      <c r="AP86" s="87"/>
      <c r="AQ86" s="20"/>
      <c r="AR86" s="20"/>
      <c r="AS86" s="20"/>
      <c r="AT86" s="20"/>
      <c r="AU86" s="20"/>
      <c r="AV86" s="20"/>
      <c r="AW86" s="15">
        <v>44848</v>
      </c>
      <c r="AX86" s="7">
        <v>1014</v>
      </c>
      <c r="BA86" s="20">
        <v>1000</v>
      </c>
      <c r="BB86" s="20"/>
      <c r="BD86" s="7"/>
      <c r="CS86" s="20">
        <f t="shared" si="8"/>
        <v>1000</v>
      </c>
      <c r="CT86" s="20">
        <f t="shared" si="9"/>
        <v>1000</v>
      </c>
      <c r="CU86" s="20">
        <f t="shared" si="10"/>
        <v>0</v>
      </c>
      <c r="CV86" s="24">
        <f t="shared" si="11"/>
        <v>0</v>
      </c>
    </row>
    <row r="87" spans="1:100" x14ac:dyDescent="0.2">
      <c r="A87" s="7" t="s">
        <v>811</v>
      </c>
      <c r="B87" s="1">
        <v>140</v>
      </c>
      <c r="C87" s="2" t="s">
        <v>36</v>
      </c>
      <c r="D87" s="2" t="s">
        <v>37</v>
      </c>
      <c r="E87" s="1"/>
      <c r="F87" s="1"/>
      <c r="G87" s="1" t="s">
        <v>27</v>
      </c>
      <c r="H87" s="1">
        <v>3</v>
      </c>
      <c r="I87" s="18">
        <v>120.12</v>
      </c>
      <c r="J87" s="18">
        <v>35900</v>
      </c>
      <c r="K87" s="2">
        <v>0</v>
      </c>
      <c r="L87" s="2" t="s">
        <v>3</v>
      </c>
      <c r="M87" s="7" t="s">
        <v>0</v>
      </c>
      <c r="N87" s="7" t="s">
        <v>5</v>
      </c>
      <c r="O87" s="7" t="s">
        <v>810</v>
      </c>
      <c r="S87" s="7" t="s">
        <v>96</v>
      </c>
      <c r="T87" s="107" t="s">
        <v>27</v>
      </c>
      <c r="U87" s="107">
        <v>3</v>
      </c>
      <c r="V87" s="107">
        <v>120.12</v>
      </c>
      <c r="W87" s="8" t="s">
        <v>196</v>
      </c>
      <c r="X87" s="15">
        <v>44699</v>
      </c>
      <c r="Y87" s="15">
        <v>44944</v>
      </c>
      <c r="Z87" s="17" t="s">
        <v>201</v>
      </c>
      <c r="AA87" s="118">
        <v>32000</v>
      </c>
      <c r="AB87" s="7">
        <v>12</v>
      </c>
      <c r="AC87" s="7">
        <v>5</v>
      </c>
      <c r="AD87" s="15">
        <v>44880</v>
      </c>
      <c r="AE87" s="50">
        <v>1000</v>
      </c>
      <c r="AF87" s="50"/>
      <c r="AH87" s="15">
        <v>44879</v>
      </c>
      <c r="AI87" s="7">
        <v>45086870</v>
      </c>
      <c r="AJ87" s="7" t="s">
        <v>845</v>
      </c>
      <c r="AK87" s="7" t="s">
        <v>841</v>
      </c>
      <c r="AL87" s="20">
        <v>1000</v>
      </c>
      <c r="AM87" s="20"/>
      <c r="AN87" s="20" t="s">
        <v>825</v>
      </c>
      <c r="AO87" s="20"/>
      <c r="AP87" s="7"/>
      <c r="AQ87" s="7"/>
      <c r="AR87" s="7"/>
      <c r="AS87" s="7"/>
      <c r="AT87" s="7"/>
      <c r="AU87" s="7"/>
      <c r="AV87" s="7"/>
      <c r="AW87" s="15">
        <v>44877</v>
      </c>
      <c r="AX87" s="7">
        <v>1065</v>
      </c>
      <c r="BA87" s="20">
        <v>1000</v>
      </c>
      <c r="BB87" s="20"/>
      <c r="BD87" s="7"/>
      <c r="CS87" s="20">
        <f t="shared" si="8"/>
        <v>1000</v>
      </c>
      <c r="CT87" s="20">
        <f t="shared" si="9"/>
        <v>1000</v>
      </c>
      <c r="CU87" s="20">
        <f t="shared" si="10"/>
        <v>0</v>
      </c>
      <c r="CV87" s="24">
        <f t="shared" si="11"/>
        <v>0</v>
      </c>
    </row>
    <row r="88" spans="1:100" x14ac:dyDescent="0.2">
      <c r="A88" s="7" t="s">
        <v>811</v>
      </c>
      <c r="B88" s="1">
        <v>140</v>
      </c>
      <c r="C88" s="2" t="s">
        <v>36</v>
      </c>
      <c r="D88" s="2" t="s">
        <v>37</v>
      </c>
      <c r="E88" s="1"/>
      <c r="F88" s="1"/>
      <c r="G88" s="1" t="s">
        <v>27</v>
      </c>
      <c r="H88" s="1">
        <v>3</v>
      </c>
      <c r="I88" s="18">
        <v>120.12</v>
      </c>
      <c r="J88" s="18">
        <v>35900</v>
      </c>
      <c r="K88" s="2">
        <v>0</v>
      </c>
      <c r="L88" s="2" t="s">
        <v>3</v>
      </c>
      <c r="M88" s="7" t="s">
        <v>0</v>
      </c>
      <c r="N88" s="7" t="s">
        <v>5</v>
      </c>
      <c r="O88" s="7" t="s">
        <v>810</v>
      </c>
      <c r="S88" s="7" t="s">
        <v>96</v>
      </c>
      <c r="T88" s="107" t="s">
        <v>27</v>
      </c>
      <c r="U88" s="107">
        <v>3</v>
      </c>
      <c r="V88" s="107">
        <v>120.12</v>
      </c>
      <c r="W88" s="8" t="s">
        <v>196</v>
      </c>
      <c r="X88" s="15">
        <v>44699</v>
      </c>
      <c r="Y88" s="15">
        <v>44944</v>
      </c>
      <c r="Z88" s="17" t="s">
        <v>201</v>
      </c>
      <c r="AA88" s="118">
        <v>32000</v>
      </c>
      <c r="AB88" s="7">
        <v>12</v>
      </c>
      <c r="AC88" s="7">
        <v>6</v>
      </c>
      <c r="AD88" s="15">
        <v>44910</v>
      </c>
      <c r="AE88" s="50">
        <v>1000</v>
      </c>
      <c r="AF88" s="50"/>
      <c r="AH88" s="15">
        <v>44914</v>
      </c>
      <c r="AI88" s="7">
        <v>45086870</v>
      </c>
      <c r="AJ88" s="7" t="s">
        <v>845</v>
      </c>
      <c r="AK88" s="7" t="s">
        <v>843</v>
      </c>
      <c r="AL88" s="20">
        <v>1000</v>
      </c>
      <c r="AM88" s="20"/>
      <c r="AN88" s="20" t="s">
        <v>827</v>
      </c>
      <c r="AO88" s="20"/>
      <c r="AP88" s="7"/>
      <c r="AQ88" s="7"/>
      <c r="AR88" s="7"/>
      <c r="AS88" s="7"/>
      <c r="AT88" s="7"/>
      <c r="AU88" s="7"/>
      <c r="AV88" s="7"/>
      <c r="AW88" s="15">
        <v>44910</v>
      </c>
      <c r="AX88" s="7">
        <v>1106</v>
      </c>
      <c r="BA88" s="20">
        <v>1000</v>
      </c>
      <c r="BB88" s="20"/>
      <c r="BD88" s="7"/>
      <c r="CS88" s="20">
        <f t="shared" si="8"/>
        <v>1000</v>
      </c>
      <c r="CT88" s="20">
        <f t="shared" si="9"/>
        <v>1000</v>
      </c>
      <c r="CU88" s="20">
        <f t="shared" si="10"/>
        <v>0</v>
      </c>
      <c r="CV88" s="24">
        <f t="shared" si="11"/>
        <v>0</v>
      </c>
    </row>
    <row r="89" spans="1:100" x14ac:dyDescent="0.2">
      <c r="A89" s="7" t="s">
        <v>811</v>
      </c>
      <c r="B89" s="1">
        <v>140</v>
      </c>
      <c r="C89" s="2" t="s">
        <v>36</v>
      </c>
      <c r="D89" s="2" t="s">
        <v>37</v>
      </c>
      <c r="E89" s="1"/>
      <c r="F89" s="1"/>
      <c r="G89" s="1" t="s">
        <v>27</v>
      </c>
      <c r="H89" s="1">
        <v>3</v>
      </c>
      <c r="I89" s="18">
        <v>120.12</v>
      </c>
      <c r="J89" s="18">
        <v>35900</v>
      </c>
      <c r="K89" s="2">
        <v>0</v>
      </c>
      <c r="L89" s="2" t="s">
        <v>3</v>
      </c>
      <c r="M89" s="7" t="s">
        <v>0</v>
      </c>
      <c r="N89" s="7" t="s">
        <v>5</v>
      </c>
      <c r="O89" s="7" t="s">
        <v>810</v>
      </c>
      <c r="S89" s="7" t="s">
        <v>96</v>
      </c>
      <c r="T89" s="107" t="s">
        <v>27</v>
      </c>
      <c r="U89" s="107">
        <v>3</v>
      </c>
      <c r="V89" s="107">
        <v>120.12</v>
      </c>
      <c r="W89" s="8" t="s">
        <v>196</v>
      </c>
      <c r="X89" s="15">
        <v>44699</v>
      </c>
      <c r="Y89" s="15">
        <v>44944</v>
      </c>
      <c r="Z89" s="17" t="s">
        <v>201</v>
      </c>
      <c r="AA89" s="118">
        <v>32000</v>
      </c>
      <c r="AB89" s="7">
        <v>12</v>
      </c>
      <c r="AC89" s="7">
        <v>7</v>
      </c>
      <c r="AD89" s="15">
        <v>44941</v>
      </c>
      <c r="AE89" s="50">
        <v>1000</v>
      </c>
      <c r="AF89" s="50"/>
      <c r="AH89" s="87">
        <v>44945</v>
      </c>
      <c r="AI89" s="7">
        <v>45086870</v>
      </c>
      <c r="AJ89" s="7" t="s">
        <v>845</v>
      </c>
      <c r="AK89" s="20" t="s">
        <v>846</v>
      </c>
      <c r="AL89" s="20">
        <v>1000</v>
      </c>
      <c r="AM89" s="20"/>
      <c r="AN89" s="20" t="s">
        <v>857</v>
      </c>
      <c r="AO89" s="7"/>
      <c r="AP89" s="7"/>
      <c r="AQ89" s="7"/>
      <c r="AR89" s="7"/>
      <c r="AS89" s="7"/>
      <c r="AT89" s="7"/>
      <c r="AU89" s="7"/>
      <c r="AV89" s="7"/>
      <c r="AW89" s="15">
        <v>44940</v>
      </c>
      <c r="AX89" s="7">
        <v>1153</v>
      </c>
      <c r="BA89" s="20">
        <v>1000</v>
      </c>
      <c r="BB89" s="20"/>
      <c r="BD89" s="7"/>
      <c r="CS89" s="20">
        <f t="shared" si="8"/>
        <v>1000</v>
      </c>
      <c r="CT89" s="20">
        <f t="shared" si="9"/>
        <v>1000</v>
      </c>
      <c r="CU89" s="20">
        <f t="shared" si="10"/>
        <v>0</v>
      </c>
      <c r="CV89" s="24">
        <f t="shared" si="11"/>
        <v>0</v>
      </c>
    </row>
    <row r="90" spans="1:100" x14ac:dyDescent="0.2">
      <c r="A90" s="7" t="s">
        <v>811</v>
      </c>
      <c r="B90" s="1">
        <v>140</v>
      </c>
      <c r="C90" s="2" t="s">
        <v>36</v>
      </c>
      <c r="D90" s="2" t="s">
        <v>37</v>
      </c>
      <c r="E90" s="1"/>
      <c r="F90" s="1"/>
      <c r="G90" s="1" t="s">
        <v>27</v>
      </c>
      <c r="H90" s="1">
        <v>3</v>
      </c>
      <c r="I90" s="18">
        <v>120.12</v>
      </c>
      <c r="J90" s="18">
        <v>35900</v>
      </c>
      <c r="K90" s="2">
        <v>0</v>
      </c>
      <c r="L90" s="2" t="s">
        <v>3</v>
      </c>
      <c r="M90" s="7" t="s">
        <v>0</v>
      </c>
      <c r="N90" s="7" t="s">
        <v>5</v>
      </c>
      <c r="O90" s="7" t="s">
        <v>810</v>
      </c>
      <c r="S90" s="7" t="s">
        <v>96</v>
      </c>
      <c r="T90" s="107" t="s">
        <v>27</v>
      </c>
      <c r="U90" s="107">
        <v>3</v>
      </c>
      <c r="V90" s="107">
        <v>120.12</v>
      </c>
      <c r="W90" s="8" t="s">
        <v>196</v>
      </c>
      <c r="X90" s="15">
        <v>44699</v>
      </c>
      <c r="Y90" s="15">
        <v>44944</v>
      </c>
      <c r="Z90" s="17" t="s">
        <v>201</v>
      </c>
      <c r="AA90" s="118">
        <v>32000</v>
      </c>
      <c r="AB90" s="7">
        <v>12</v>
      </c>
      <c r="AC90" s="7">
        <v>8</v>
      </c>
      <c r="AD90" s="15">
        <v>44972</v>
      </c>
      <c r="AE90" s="50">
        <v>1000</v>
      </c>
      <c r="AF90" s="50"/>
      <c r="AH90" s="87">
        <v>44974</v>
      </c>
      <c r="AI90" s="7">
        <v>45086870</v>
      </c>
      <c r="AJ90" s="7" t="s">
        <v>845</v>
      </c>
      <c r="AK90" s="20" t="s">
        <v>869</v>
      </c>
      <c r="AL90" s="20">
        <v>1000</v>
      </c>
      <c r="AM90" s="20"/>
      <c r="AN90" s="20" t="s">
        <v>858</v>
      </c>
      <c r="AO90" s="20"/>
      <c r="AP90" s="7"/>
      <c r="AQ90" s="7"/>
      <c r="AR90" s="7"/>
      <c r="AS90" s="7"/>
      <c r="AT90" s="7"/>
      <c r="AU90" s="7"/>
      <c r="AV90" s="7"/>
      <c r="AW90" s="15">
        <v>44971</v>
      </c>
      <c r="AX90" s="7">
        <v>1221</v>
      </c>
      <c r="BA90" s="20">
        <v>1000</v>
      </c>
      <c r="BB90" s="20"/>
      <c r="BD90" s="7"/>
      <c r="CS90" s="20">
        <f t="shared" si="8"/>
        <v>1000</v>
      </c>
      <c r="CT90" s="20">
        <f t="shared" si="9"/>
        <v>1000</v>
      </c>
      <c r="CU90" s="20">
        <f t="shared" si="10"/>
        <v>0</v>
      </c>
      <c r="CV90" s="24">
        <f t="shared" si="11"/>
        <v>0</v>
      </c>
    </row>
    <row r="91" spans="1:100" x14ac:dyDescent="0.2">
      <c r="A91" s="7" t="s">
        <v>811</v>
      </c>
      <c r="B91" s="1">
        <v>140</v>
      </c>
      <c r="C91" s="2" t="s">
        <v>36</v>
      </c>
      <c r="D91" s="2" t="s">
        <v>37</v>
      </c>
      <c r="E91" s="1"/>
      <c r="F91" s="1"/>
      <c r="G91" s="1" t="s">
        <v>27</v>
      </c>
      <c r="H91" s="1">
        <v>3</v>
      </c>
      <c r="I91" s="18">
        <v>120.12</v>
      </c>
      <c r="J91" s="18">
        <v>35900</v>
      </c>
      <c r="K91" s="2">
        <v>0</v>
      </c>
      <c r="L91" s="2" t="s">
        <v>3</v>
      </c>
      <c r="M91" s="7" t="s">
        <v>0</v>
      </c>
      <c r="N91" s="7" t="s">
        <v>5</v>
      </c>
      <c r="O91" s="7" t="s">
        <v>810</v>
      </c>
      <c r="S91" s="7" t="s">
        <v>96</v>
      </c>
      <c r="T91" s="107" t="s">
        <v>27</v>
      </c>
      <c r="U91" s="107">
        <v>3</v>
      </c>
      <c r="V91" s="107">
        <v>120.12</v>
      </c>
      <c r="W91" s="8" t="s">
        <v>196</v>
      </c>
      <c r="X91" s="15">
        <v>44699</v>
      </c>
      <c r="Y91" s="15">
        <v>44944</v>
      </c>
      <c r="Z91" s="17" t="s">
        <v>201</v>
      </c>
      <c r="AA91" s="118">
        <v>32000</v>
      </c>
      <c r="AB91" s="7">
        <v>12</v>
      </c>
      <c r="AC91" s="7">
        <v>9</v>
      </c>
      <c r="AD91" s="15">
        <v>45000</v>
      </c>
      <c r="AE91" s="50">
        <v>1000</v>
      </c>
      <c r="AF91" s="50"/>
      <c r="AH91" s="87">
        <v>45012</v>
      </c>
      <c r="AI91" s="7">
        <v>45086870</v>
      </c>
      <c r="AJ91" s="7" t="s">
        <v>845</v>
      </c>
      <c r="AK91" s="20" t="s">
        <v>848</v>
      </c>
      <c r="AL91" s="20">
        <v>1000</v>
      </c>
      <c r="AM91" s="20"/>
      <c r="AN91" s="20" t="s">
        <v>860</v>
      </c>
      <c r="AO91" s="20"/>
      <c r="AP91" s="7"/>
      <c r="AQ91" s="7"/>
      <c r="AR91" s="7"/>
      <c r="AS91" s="7"/>
      <c r="AT91" s="7"/>
      <c r="AU91" s="7"/>
      <c r="AV91" s="7"/>
      <c r="AW91" s="15">
        <v>44999</v>
      </c>
      <c r="AX91" s="7">
        <v>1315</v>
      </c>
      <c r="BA91" s="20">
        <v>1000</v>
      </c>
      <c r="BB91" s="20"/>
      <c r="BD91" s="7"/>
      <c r="CS91" s="20">
        <f t="shared" si="8"/>
        <v>1000</v>
      </c>
      <c r="CT91" s="20">
        <f t="shared" si="9"/>
        <v>1000</v>
      </c>
      <c r="CU91" s="20">
        <f t="shared" si="10"/>
        <v>0</v>
      </c>
      <c r="CV91" s="24">
        <f t="shared" si="11"/>
        <v>0</v>
      </c>
    </row>
    <row r="92" spans="1:100" x14ac:dyDescent="0.2">
      <c r="A92" s="7" t="s">
        <v>811</v>
      </c>
      <c r="B92" s="1">
        <v>140</v>
      </c>
      <c r="C92" s="2" t="s">
        <v>36</v>
      </c>
      <c r="D92" s="2" t="s">
        <v>37</v>
      </c>
      <c r="E92" s="1"/>
      <c r="F92" s="1"/>
      <c r="G92" s="1" t="s">
        <v>27</v>
      </c>
      <c r="H92" s="1">
        <v>3</v>
      </c>
      <c r="I92" s="18">
        <v>120.12</v>
      </c>
      <c r="J92" s="18">
        <v>35900</v>
      </c>
      <c r="K92" s="2">
        <v>0</v>
      </c>
      <c r="L92" s="2" t="s">
        <v>3</v>
      </c>
      <c r="M92" s="7" t="s">
        <v>0</v>
      </c>
      <c r="N92" s="7" t="s">
        <v>5</v>
      </c>
      <c r="O92" s="7" t="s">
        <v>810</v>
      </c>
      <c r="S92" s="7" t="s">
        <v>96</v>
      </c>
      <c r="T92" s="107" t="s">
        <v>27</v>
      </c>
      <c r="U92" s="107">
        <v>3</v>
      </c>
      <c r="V92" s="107">
        <v>120.12</v>
      </c>
      <c r="W92" s="8" t="s">
        <v>196</v>
      </c>
      <c r="X92" s="15">
        <v>44699</v>
      </c>
      <c r="Y92" s="15">
        <v>44944</v>
      </c>
      <c r="Z92" s="17" t="s">
        <v>201</v>
      </c>
      <c r="AA92" s="118">
        <v>32000</v>
      </c>
      <c r="AB92" s="7">
        <v>12</v>
      </c>
      <c r="AC92" s="7">
        <v>10</v>
      </c>
      <c r="AD92" s="15">
        <v>45031</v>
      </c>
      <c r="AE92" s="50">
        <v>1000</v>
      </c>
      <c r="AF92" s="50"/>
      <c r="AH92" s="87">
        <v>45029</v>
      </c>
      <c r="AI92" s="7">
        <v>45086870</v>
      </c>
      <c r="AJ92" s="7" t="s">
        <v>845</v>
      </c>
      <c r="AK92" s="20" t="s">
        <v>851</v>
      </c>
      <c r="AL92" s="20">
        <v>1000</v>
      </c>
      <c r="AM92" s="20"/>
      <c r="AN92" s="20" t="s">
        <v>863</v>
      </c>
      <c r="AO92" s="20"/>
      <c r="AP92" s="7"/>
      <c r="AQ92" s="7"/>
      <c r="AR92" s="7"/>
      <c r="AS92" s="7"/>
      <c r="AT92" s="7"/>
      <c r="AU92" s="7"/>
      <c r="AV92" s="7"/>
      <c r="AW92" s="15">
        <v>45028</v>
      </c>
      <c r="AX92" s="7">
        <v>1403</v>
      </c>
      <c r="BA92" s="20">
        <v>1000</v>
      </c>
      <c r="BB92" s="20"/>
      <c r="BD92" s="7"/>
      <c r="CS92" s="20">
        <f t="shared" ref="CS92:CS155" si="12">+AL92+AT92</f>
        <v>1000</v>
      </c>
      <c r="CT92" s="20">
        <f t="shared" ref="CT92:CT155" si="13">+BA92+BG92+BM92+BS92+BY92+CE92+CK92+CQ92</f>
        <v>1000</v>
      </c>
      <c r="CU92" s="20">
        <f t="shared" ref="CU92:CU155" si="14">+CS92-CT92</f>
        <v>0</v>
      </c>
      <c r="CV92" s="24">
        <f t="shared" ref="CV92:CV155" si="15">+AE92-AL92-AT92</f>
        <v>0</v>
      </c>
    </row>
    <row r="93" spans="1:100" x14ac:dyDescent="0.2">
      <c r="A93" s="7" t="s">
        <v>811</v>
      </c>
      <c r="B93" s="1">
        <v>140</v>
      </c>
      <c r="C93" s="2" t="s">
        <v>36</v>
      </c>
      <c r="D93" s="2" t="s">
        <v>37</v>
      </c>
      <c r="E93" s="1"/>
      <c r="F93" s="1"/>
      <c r="G93" s="1" t="s">
        <v>27</v>
      </c>
      <c r="H93" s="1">
        <v>3</v>
      </c>
      <c r="I93" s="18">
        <v>120.12</v>
      </c>
      <c r="J93" s="18">
        <v>35900</v>
      </c>
      <c r="K93" s="2">
        <v>0</v>
      </c>
      <c r="L93" s="2" t="s">
        <v>3</v>
      </c>
      <c r="M93" s="7" t="s">
        <v>0</v>
      </c>
      <c r="N93" s="7" t="s">
        <v>5</v>
      </c>
      <c r="O93" s="7" t="s">
        <v>810</v>
      </c>
      <c r="S93" s="7" t="s">
        <v>96</v>
      </c>
      <c r="T93" s="107" t="s">
        <v>27</v>
      </c>
      <c r="U93" s="107">
        <v>3</v>
      </c>
      <c r="V93" s="107">
        <v>120.12</v>
      </c>
      <c r="W93" s="8" t="s">
        <v>196</v>
      </c>
      <c r="X93" s="15">
        <v>44699</v>
      </c>
      <c r="Y93" s="15">
        <v>44944</v>
      </c>
      <c r="Z93" s="17" t="s">
        <v>201</v>
      </c>
      <c r="AA93" s="118">
        <v>32000</v>
      </c>
      <c r="AB93" s="7">
        <v>12</v>
      </c>
      <c r="AC93" s="7">
        <v>11</v>
      </c>
      <c r="AD93" s="15">
        <v>45061</v>
      </c>
      <c r="AE93" s="50">
        <v>1000</v>
      </c>
      <c r="AF93" s="50"/>
      <c r="AH93" s="87">
        <v>45061</v>
      </c>
      <c r="AI93" s="7">
        <v>45086870</v>
      </c>
      <c r="AJ93" s="7" t="s">
        <v>845</v>
      </c>
      <c r="AK93" s="20" t="s">
        <v>852</v>
      </c>
      <c r="AL93" s="20">
        <v>1000</v>
      </c>
      <c r="AM93" s="20"/>
      <c r="AN93" s="20" t="s">
        <v>864</v>
      </c>
      <c r="AO93" s="20"/>
      <c r="AP93" s="7"/>
      <c r="AQ93" s="7"/>
      <c r="AR93" s="7"/>
      <c r="AS93" s="7"/>
      <c r="AT93" s="7"/>
      <c r="AU93" s="7"/>
      <c r="AV93" s="7"/>
      <c r="AW93" s="15">
        <v>45059</v>
      </c>
      <c r="AX93" s="7">
        <v>1508</v>
      </c>
      <c r="BA93" s="20">
        <v>1000</v>
      </c>
      <c r="BB93" s="20"/>
      <c r="BD93" s="7"/>
      <c r="CS93" s="20">
        <f t="shared" si="12"/>
        <v>1000</v>
      </c>
      <c r="CT93" s="20">
        <f t="shared" si="13"/>
        <v>1000</v>
      </c>
      <c r="CU93" s="20">
        <f t="shared" si="14"/>
        <v>0</v>
      </c>
      <c r="CV93" s="24">
        <f t="shared" si="15"/>
        <v>0</v>
      </c>
    </row>
    <row r="94" spans="1:100" x14ac:dyDescent="0.2">
      <c r="A94" s="7" t="s">
        <v>811</v>
      </c>
      <c r="B94" s="1">
        <v>140</v>
      </c>
      <c r="C94" s="2" t="s">
        <v>36</v>
      </c>
      <c r="D94" s="2" t="s">
        <v>37</v>
      </c>
      <c r="E94" s="1"/>
      <c r="F94" s="1"/>
      <c r="G94" s="1" t="s">
        <v>27</v>
      </c>
      <c r="H94" s="1">
        <v>3</v>
      </c>
      <c r="I94" s="18">
        <v>120.12</v>
      </c>
      <c r="J94" s="18">
        <v>35900</v>
      </c>
      <c r="K94" s="2">
        <v>0</v>
      </c>
      <c r="L94" s="2" t="s">
        <v>3</v>
      </c>
      <c r="M94" s="7" t="s">
        <v>0</v>
      </c>
      <c r="N94" s="7" t="s">
        <v>5</v>
      </c>
      <c r="O94" s="7" t="s">
        <v>810</v>
      </c>
      <c r="S94" s="7" t="s">
        <v>96</v>
      </c>
      <c r="T94" s="107" t="s">
        <v>27</v>
      </c>
      <c r="U94" s="107">
        <v>3</v>
      </c>
      <c r="V94" s="107">
        <v>120.12</v>
      </c>
      <c r="W94" s="8" t="s">
        <v>196</v>
      </c>
      <c r="X94" s="15">
        <v>44699</v>
      </c>
      <c r="Y94" s="15">
        <v>44944</v>
      </c>
      <c r="Z94" s="17" t="s">
        <v>201</v>
      </c>
      <c r="AA94" s="118">
        <v>32000</v>
      </c>
      <c r="AB94" s="7">
        <v>12</v>
      </c>
      <c r="AC94" s="7">
        <v>12</v>
      </c>
      <c r="AD94" s="15">
        <v>45199</v>
      </c>
      <c r="AE94" s="50">
        <v>16000</v>
      </c>
      <c r="AF94" s="50"/>
      <c r="AH94" s="87">
        <v>45091</v>
      </c>
      <c r="AI94" s="7">
        <v>45086870</v>
      </c>
      <c r="AJ94" s="7" t="s">
        <v>845</v>
      </c>
      <c r="AK94" s="20" t="s">
        <v>855</v>
      </c>
      <c r="AL94" s="20">
        <v>16000</v>
      </c>
      <c r="AM94" s="20"/>
      <c r="AN94" s="20" t="s">
        <v>867</v>
      </c>
      <c r="AO94" s="20"/>
      <c r="AP94" s="7"/>
      <c r="AQ94" s="7"/>
      <c r="AR94" s="7"/>
      <c r="AS94" s="7"/>
      <c r="AT94" s="7"/>
      <c r="AU94" s="7"/>
      <c r="AV94" s="7"/>
      <c r="AW94" s="15">
        <v>45091</v>
      </c>
      <c r="AX94" s="7">
        <v>1628</v>
      </c>
      <c r="BA94" s="20">
        <v>16000</v>
      </c>
      <c r="BB94" s="20"/>
      <c r="BD94" s="7"/>
      <c r="CS94" s="20">
        <f t="shared" si="12"/>
        <v>16000</v>
      </c>
      <c r="CT94" s="20">
        <f t="shared" si="13"/>
        <v>16000</v>
      </c>
      <c r="CU94" s="20">
        <f t="shared" si="14"/>
        <v>0</v>
      </c>
      <c r="CV94" s="24">
        <f t="shared" si="15"/>
        <v>0</v>
      </c>
    </row>
    <row r="95" spans="1:100" x14ac:dyDescent="0.2">
      <c r="A95" s="7" t="s">
        <v>811</v>
      </c>
      <c r="B95" s="1">
        <v>140</v>
      </c>
      <c r="C95" s="2" t="s">
        <v>36</v>
      </c>
      <c r="D95" s="2" t="s">
        <v>37</v>
      </c>
      <c r="E95" s="1"/>
      <c r="F95" s="1"/>
      <c r="G95" s="1" t="s">
        <v>27</v>
      </c>
      <c r="H95" s="1">
        <v>3</v>
      </c>
      <c r="I95" s="18">
        <v>120.12</v>
      </c>
      <c r="J95" s="18">
        <v>35900</v>
      </c>
      <c r="K95" s="2">
        <v>0</v>
      </c>
      <c r="L95" s="2" t="s">
        <v>3</v>
      </c>
      <c r="M95" s="7" t="s">
        <v>0</v>
      </c>
      <c r="N95" s="7" t="s">
        <v>5</v>
      </c>
      <c r="O95" s="7" t="s">
        <v>810</v>
      </c>
      <c r="S95" s="7" t="s">
        <v>812</v>
      </c>
      <c r="T95" s="107"/>
      <c r="U95" s="107"/>
      <c r="V95" s="107">
        <v>12.5</v>
      </c>
      <c r="W95" s="8" t="s">
        <v>196</v>
      </c>
      <c r="X95" s="15">
        <v>44699</v>
      </c>
      <c r="Y95" s="15">
        <v>44700</v>
      </c>
      <c r="Z95" s="17" t="s">
        <v>201</v>
      </c>
      <c r="AA95" s="118">
        <v>6000</v>
      </c>
      <c r="AB95" s="7">
        <v>12</v>
      </c>
      <c r="AC95" s="7">
        <v>0</v>
      </c>
      <c r="AD95" s="15">
        <v>44700</v>
      </c>
      <c r="AE95" s="50">
        <v>1000</v>
      </c>
      <c r="AF95" s="50"/>
      <c r="AH95" s="15">
        <v>44700</v>
      </c>
      <c r="AI95" s="7">
        <v>45086870</v>
      </c>
      <c r="AJ95" s="7" t="s">
        <v>845</v>
      </c>
      <c r="AK95" s="7" t="s">
        <v>832</v>
      </c>
      <c r="AL95" s="20">
        <v>1000</v>
      </c>
      <c r="AM95" s="20"/>
      <c r="AN95" s="20" t="s">
        <v>816</v>
      </c>
      <c r="AO95" s="7"/>
      <c r="AP95" s="87"/>
      <c r="AQ95" s="20"/>
      <c r="AR95" s="20"/>
      <c r="AS95" s="20"/>
      <c r="AT95" s="20"/>
      <c r="AU95" s="20"/>
      <c r="AV95" s="20"/>
      <c r="AW95" s="15">
        <v>44700</v>
      </c>
      <c r="AX95" s="7">
        <v>655</v>
      </c>
      <c r="BA95" s="20">
        <v>1000</v>
      </c>
      <c r="BB95" s="20"/>
      <c r="BD95" s="7"/>
      <c r="CS95" s="20">
        <f t="shared" si="12"/>
        <v>1000</v>
      </c>
      <c r="CT95" s="20">
        <f t="shared" si="13"/>
        <v>1000</v>
      </c>
      <c r="CU95" s="20">
        <f t="shared" si="14"/>
        <v>0</v>
      </c>
      <c r="CV95" s="24">
        <f t="shared" si="15"/>
        <v>0</v>
      </c>
    </row>
    <row r="96" spans="1:100" x14ac:dyDescent="0.2">
      <c r="A96" s="7" t="s">
        <v>811</v>
      </c>
      <c r="B96" s="1">
        <v>140</v>
      </c>
      <c r="C96" s="2" t="s">
        <v>36</v>
      </c>
      <c r="D96" s="2" t="s">
        <v>37</v>
      </c>
      <c r="E96" s="1"/>
      <c r="F96" s="1"/>
      <c r="G96" s="1" t="s">
        <v>27</v>
      </c>
      <c r="H96" s="1">
        <v>3</v>
      </c>
      <c r="I96" s="18">
        <v>120.12</v>
      </c>
      <c r="J96" s="18">
        <v>35900</v>
      </c>
      <c r="K96" s="2">
        <v>0</v>
      </c>
      <c r="L96" s="2" t="s">
        <v>3</v>
      </c>
      <c r="M96" s="7" t="s">
        <v>0</v>
      </c>
      <c r="N96" s="7" t="s">
        <v>5</v>
      </c>
      <c r="O96" s="7" t="s">
        <v>810</v>
      </c>
      <c r="S96" s="7" t="s">
        <v>812</v>
      </c>
      <c r="T96" s="107"/>
      <c r="U96" s="107"/>
      <c r="V96" s="107">
        <v>12.5</v>
      </c>
      <c r="W96" s="8" t="s">
        <v>196</v>
      </c>
      <c r="X96" s="15">
        <v>44699</v>
      </c>
      <c r="Y96" s="15">
        <v>44700</v>
      </c>
      <c r="Z96" s="17" t="s">
        <v>201</v>
      </c>
      <c r="AA96" s="118">
        <v>6000</v>
      </c>
      <c r="AB96" s="7">
        <v>12</v>
      </c>
      <c r="AC96" s="7">
        <v>1</v>
      </c>
      <c r="AD96" s="15">
        <v>44772</v>
      </c>
      <c r="AE96" s="50">
        <v>416.67</v>
      </c>
      <c r="AF96" s="50"/>
      <c r="AH96" s="15">
        <v>44756</v>
      </c>
      <c r="AI96" s="7">
        <v>45086870</v>
      </c>
      <c r="AJ96" s="7" t="s">
        <v>845</v>
      </c>
      <c r="AK96" s="7" t="s">
        <v>833</v>
      </c>
      <c r="AL96" s="20">
        <v>416.67</v>
      </c>
      <c r="AM96" s="20"/>
      <c r="AN96" s="20" t="s">
        <v>817</v>
      </c>
      <c r="AO96" s="7"/>
      <c r="AP96" s="7"/>
      <c r="AQ96" s="7"/>
      <c r="AR96" s="7"/>
      <c r="AS96" s="7"/>
      <c r="AT96" s="7"/>
      <c r="AU96" s="7"/>
      <c r="AV96" s="7"/>
      <c r="AW96" s="15">
        <v>44747</v>
      </c>
      <c r="AX96" s="7">
        <v>773</v>
      </c>
      <c r="BA96" s="20">
        <v>416.67</v>
      </c>
      <c r="BB96" s="20"/>
      <c r="BD96" s="7"/>
      <c r="CS96" s="20">
        <f t="shared" si="12"/>
        <v>416.67</v>
      </c>
      <c r="CT96" s="20">
        <f t="shared" si="13"/>
        <v>416.67</v>
      </c>
      <c r="CU96" s="20">
        <f t="shared" si="14"/>
        <v>0</v>
      </c>
      <c r="CV96" s="24">
        <f t="shared" si="15"/>
        <v>0</v>
      </c>
    </row>
    <row r="97" spans="1:100" x14ac:dyDescent="0.2">
      <c r="A97" s="7" t="s">
        <v>811</v>
      </c>
      <c r="B97" s="1">
        <v>140</v>
      </c>
      <c r="C97" s="2" t="s">
        <v>36</v>
      </c>
      <c r="D97" s="2" t="s">
        <v>37</v>
      </c>
      <c r="E97" s="1"/>
      <c r="F97" s="1"/>
      <c r="G97" s="1" t="s">
        <v>27</v>
      </c>
      <c r="H97" s="1">
        <v>3</v>
      </c>
      <c r="I97" s="18">
        <v>120.12</v>
      </c>
      <c r="J97" s="18">
        <v>35900</v>
      </c>
      <c r="K97" s="2">
        <v>0</v>
      </c>
      <c r="L97" s="2" t="s">
        <v>3</v>
      </c>
      <c r="M97" s="7" t="s">
        <v>0</v>
      </c>
      <c r="N97" s="7" t="s">
        <v>5</v>
      </c>
      <c r="O97" s="7" t="s">
        <v>810</v>
      </c>
      <c r="S97" s="7" t="s">
        <v>812</v>
      </c>
      <c r="T97" s="107"/>
      <c r="U97" s="107"/>
      <c r="V97" s="107">
        <v>12.5</v>
      </c>
      <c r="W97" s="8" t="s">
        <v>196</v>
      </c>
      <c r="X97" s="15">
        <v>44699</v>
      </c>
      <c r="Y97" s="15">
        <v>44700</v>
      </c>
      <c r="Z97" s="17" t="s">
        <v>201</v>
      </c>
      <c r="AA97" s="118">
        <v>6000</v>
      </c>
      <c r="AB97" s="7">
        <v>12</v>
      </c>
      <c r="AC97" s="7">
        <v>2</v>
      </c>
      <c r="AD97" s="15">
        <v>44803</v>
      </c>
      <c r="AE97" s="50">
        <v>416.67</v>
      </c>
      <c r="AF97" s="50"/>
      <c r="AH97" s="15">
        <v>44790</v>
      </c>
      <c r="AI97" s="7">
        <v>45086870</v>
      </c>
      <c r="AJ97" s="7" t="s">
        <v>845</v>
      </c>
      <c r="AK97" s="7" t="s">
        <v>835</v>
      </c>
      <c r="AL97" s="20">
        <v>416.67</v>
      </c>
      <c r="AM97" s="20"/>
      <c r="AN97" s="20" t="s">
        <v>819</v>
      </c>
      <c r="AO97" s="7"/>
      <c r="AP97" s="20"/>
      <c r="AQ97" s="20"/>
      <c r="AR97" s="20"/>
      <c r="AS97" s="20"/>
      <c r="AT97" s="20"/>
      <c r="AU97" s="20"/>
      <c r="AV97" s="20"/>
      <c r="AW97" s="15">
        <v>44784</v>
      </c>
      <c r="AX97" s="7">
        <v>844</v>
      </c>
      <c r="BA97" s="20">
        <v>416.67</v>
      </c>
      <c r="BB97" s="20"/>
      <c r="BD97" s="7"/>
      <c r="CS97" s="20">
        <f t="shared" si="12"/>
        <v>416.67</v>
      </c>
      <c r="CT97" s="20">
        <f t="shared" si="13"/>
        <v>416.67</v>
      </c>
      <c r="CU97" s="20">
        <f t="shared" si="14"/>
        <v>0</v>
      </c>
      <c r="CV97" s="24">
        <f t="shared" si="15"/>
        <v>0</v>
      </c>
    </row>
    <row r="98" spans="1:100" x14ac:dyDescent="0.2">
      <c r="A98" s="7" t="s">
        <v>811</v>
      </c>
      <c r="B98" s="1">
        <v>140</v>
      </c>
      <c r="C98" s="2" t="s">
        <v>36</v>
      </c>
      <c r="D98" s="2" t="s">
        <v>37</v>
      </c>
      <c r="E98" s="1"/>
      <c r="F98" s="1"/>
      <c r="G98" s="1" t="s">
        <v>27</v>
      </c>
      <c r="H98" s="1">
        <v>3</v>
      </c>
      <c r="I98" s="18">
        <v>120.12</v>
      </c>
      <c r="J98" s="18">
        <v>35900</v>
      </c>
      <c r="K98" s="2">
        <v>0</v>
      </c>
      <c r="L98" s="2" t="s">
        <v>3</v>
      </c>
      <c r="M98" s="7" t="s">
        <v>0</v>
      </c>
      <c r="N98" s="7" t="s">
        <v>5</v>
      </c>
      <c r="O98" s="7" t="s">
        <v>810</v>
      </c>
      <c r="S98" s="7" t="s">
        <v>812</v>
      </c>
      <c r="T98" s="107"/>
      <c r="U98" s="107"/>
      <c r="V98" s="107">
        <v>12.5</v>
      </c>
      <c r="W98" s="8" t="s">
        <v>196</v>
      </c>
      <c r="X98" s="15">
        <v>44699</v>
      </c>
      <c r="Y98" s="15">
        <v>44700</v>
      </c>
      <c r="Z98" s="17" t="s">
        <v>201</v>
      </c>
      <c r="AA98" s="118">
        <v>6000</v>
      </c>
      <c r="AB98" s="7">
        <v>12</v>
      </c>
      <c r="AC98" s="7">
        <v>3</v>
      </c>
      <c r="AD98" s="15">
        <v>44834</v>
      </c>
      <c r="AE98" s="50">
        <v>416.67</v>
      </c>
      <c r="AF98" s="50"/>
      <c r="AH98" s="15">
        <v>44818</v>
      </c>
      <c r="AI98" s="7">
        <v>45086870</v>
      </c>
      <c r="AJ98" s="7" t="s">
        <v>845</v>
      </c>
      <c r="AK98" s="7" t="s">
        <v>838</v>
      </c>
      <c r="AL98" s="20">
        <v>416.67</v>
      </c>
      <c r="AM98" s="20"/>
      <c r="AN98" s="20" t="s">
        <v>822</v>
      </c>
      <c r="AO98" s="20"/>
      <c r="AP98" s="20"/>
      <c r="AQ98" s="20"/>
      <c r="AR98" s="20"/>
      <c r="AS98" s="20"/>
      <c r="AT98" s="20"/>
      <c r="AU98" s="20"/>
      <c r="AV98" s="20"/>
      <c r="AW98" s="15">
        <v>44815</v>
      </c>
      <c r="AX98" s="7">
        <v>939</v>
      </c>
      <c r="BA98" s="20">
        <v>416.67</v>
      </c>
      <c r="BB98" s="20"/>
      <c r="BD98" s="7"/>
      <c r="CS98" s="20">
        <f t="shared" si="12"/>
        <v>416.67</v>
      </c>
      <c r="CT98" s="20">
        <f t="shared" si="13"/>
        <v>416.67</v>
      </c>
      <c r="CU98" s="20">
        <f t="shared" si="14"/>
        <v>0</v>
      </c>
      <c r="CV98" s="24">
        <f t="shared" si="15"/>
        <v>0</v>
      </c>
    </row>
    <row r="99" spans="1:100" x14ac:dyDescent="0.2">
      <c r="A99" s="7" t="s">
        <v>811</v>
      </c>
      <c r="B99" s="1">
        <v>140</v>
      </c>
      <c r="C99" s="2" t="s">
        <v>36</v>
      </c>
      <c r="D99" s="2" t="s">
        <v>37</v>
      </c>
      <c r="E99" s="1"/>
      <c r="F99" s="1"/>
      <c r="G99" s="1" t="s">
        <v>27</v>
      </c>
      <c r="H99" s="1">
        <v>3</v>
      </c>
      <c r="I99" s="18">
        <v>120.12</v>
      </c>
      <c r="J99" s="18">
        <v>35900</v>
      </c>
      <c r="K99" s="2">
        <v>0</v>
      </c>
      <c r="L99" s="2" t="s">
        <v>3</v>
      </c>
      <c r="M99" s="7" t="s">
        <v>0</v>
      </c>
      <c r="N99" s="7" t="s">
        <v>5</v>
      </c>
      <c r="O99" s="7" t="s">
        <v>810</v>
      </c>
      <c r="S99" s="7" t="s">
        <v>812</v>
      </c>
      <c r="T99" s="107"/>
      <c r="U99" s="107"/>
      <c r="V99" s="107">
        <v>12.5</v>
      </c>
      <c r="W99" s="8" t="s">
        <v>196</v>
      </c>
      <c r="X99" s="15">
        <v>44699</v>
      </c>
      <c r="Y99" s="15">
        <v>44700</v>
      </c>
      <c r="Z99" s="17" t="s">
        <v>201</v>
      </c>
      <c r="AA99" s="118">
        <v>6000</v>
      </c>
      <c r="AB99" s="7">
        <v>12</v>
      </c>
      <c r="AC99" s="7">
        <v>4</v>
      </c>
      <c r="AD99" s="15">
        <v>44864</v>
      </c>
      <c r="AE99" s="50">
        <v>416.67</v>
      </c>
      <c r="AF99" s="50"/>
      <c r="AH99" s="15">
        <v>44849</v>
      </c>
      <c r="AI99" s="7">
        <v>45086870</v>
      </c>
      <c r="AJ99" s="7" t="s">
        <v>845</v>
      </c>
      <c r="AK99" s="7" t="s">
        <v>839</v>
      </c>
      <c r="AL99" s="20">
        <v>416.67</v>
      </c>
      <c r="AM99" s="20"/>
      <c r="AN99" s="20" t="s">
        <v>823</v>
      </c>
      <c r="AO99" s="20"/>
      <c r="AP99" s="20"/>
      <c r="AQ99" s="20"/>
      <c r="AR99" s="20"/>
      <c r="AS99" s="20"/>
      <c r="AT99" s="20"/>
      <c r="AU99" s="20"/>
      <c r="AV99" s="20"/>
      <c r="AW99" s="15">
        <v>44848</v>
      </c>
      <c r="AX99" s="7">
        <v>1013</v>
      </c>
      <c r="BA99" s="20">
        <v>416.67</v>
      </c>
      <c r="BB99" s="20"/>
      <c r="BD99" s="7"/>
      <c r="CS99" s="20">
        <f t="shared" si="12"/>
        <v>416.67</v>
      </c>
      <c r="CT99" s="20">
        <f t="shared" si="13"/>
        <v>416.67</v>
      </c>
      <c r="CU99" s="20">
        <f t="shared" si="14"/>
        <v>0</v>
      </c>
      <c r="CV99" s="24">
        <f t="shared" si="15"/>
        <v>0</v>
      </c>
    </row>
    <row r="100" spans="1:100" x14ac:dyDescent="0.2">
      <c r="A100" s="7" t="s">
        <v>811</v>
      </c>
      <c r="B100" s="1">
        <v>140</v>
      </c>
      <c r="C100" s="2" t="s">
        <v>36</v>
      </c>
      <c r="D100" s="2" t="s">
        <v>37</v>
      </c>
      <c r="E100" s="1"/>
      <c r="F100" s="1"/>
      <c r="G100" s="1" t="s">
        <v>27</v>
      </c>
      <c r="H100" s="1">
        <v>3</v>
      </c>
      <c r="I100" s="18">
        <v>120.12</v>
      </c>
      <c r="J100" s="18">
        <v>35900</v>
      </c>
      <c r="K100" s="2">
        <v>0</v>
      </c>
      <c r="L100" s="2" t="s">
        <v>3</v>
      </c>
      <c r="M100" s="7" t="s">
        <v>0</v>
      </c>
      <c r="N100" s="7" t="s">
        <v>5</v>
      </c>
      <c r="O100" s="7" t="s">
        <v>810</v>
      </c>
      <c r="S100" s="7" t="s">
        <v>812</v>
      </c>
      <c r="T100" s="107"/>
      <c r="U100" s="107"/>
      <c r="V100" s="107">
        <v>12.5</v>
      </c>
      <c r="W100" s="8" t="s">
        <v>196</v>
      </c>
      <c r="X100" s="15">
        <v>44699</v>
      </c>
      <c r="Y100" s="15">
        <v>44700</v>
      </c>
      <c r="Z100" s="17" t="s">
        <v>201</v>
      </c>
      <c r="AA100" s="118">
        <v>6000</v>
      </c>
      <c r="AB100" s="7">
        <v>12</v>
      </c>
      <c r="AC100" s="7">
        <v>5</v>
      </c>
      <c r="AD100" s="15">
        <v>44895</v>
      </c>
      <c r="AE100" s="50">
        <v>416.67</v>
      </c>
      <c r="AF100" s="50"/>
      <c r="AH100" s="15">
        <v>44916</v>
      </c>
      <c r="AI100" s="7">
        <v>45086870</v>
      </c>
      <c r="AJ100" s="7" t="s">
        <v>845</v>
      </c>
      <c r="AK100" s="7" t="s">
        <v>844</v>
      </c>
      <c r="AL100" s="20">
        <v>416.67</v>
      </c>
      <c r="AM100" s="20"/>
      <c r="AN100" s="20" t="s">
        <v>828</v>
      </c>
      <c r="AO100" s="7"/>
      <c r="AP100" s="20"/>
      <c r="AQ100" s="20"/>
      <c r="AR100" s="20"/>
      <c r="AS100" s="20"/>
      <c r="AT100" s="20"/>
      <c r="AU100" s="20"/>
      <c r="AV100" s="20"/>
      <c r="AW100" s="15">
        <v>44910</v>
      </c>
      <c r="AX100" s="7">
        <v>1105</v>
      </c>
      <c r="BA100" s="20">
        <v>416.67</v>
      </c>
      <c r="BB100" s="20"/>
      <c r="BD100" s="7"/>
      <c r="CS100" s="20">
        <f t="shared" si="12"/>
        <v>416.67</v>
      </c>
      <c r="CT100" s="20">
        <f t="shared" si="13"/>
        <v>416.67</v>
      </c>
      <c r="CU100" s="20">
        <f t="shared" si="14"/>
        <v>0</v>
      </c>
      <c r="CV100" s="24">
        <f t="shared" si="15"/>
        <v>0</v>
      </c>
    </row>
    <row r="101" spans="1:100" x14ac:dyDescent="0.2">
      <c r="A101" s="7" t="s">
        <v>811</v>
      </c>
      <c r="B101" s="1">
        <v>140</v>
      </c>
      <c r="C101" s="2" t="s">
        <v>36</v>
      </c>
      <c r="D101" s="2" t="s">
        <v>37</v>
      </c>
      <c r="E101" s="1"/>
      <c r="F101" s="1"/>
      <c r="G101" s="1" t="s">
        <v>27</v>
      </c>
      <c r="H101" s="1">
        <v>3</v>
      </c>
      <c r="I101" s="18">
        <v>120.12</v>
      </c>
      <c r="J101" s="18">
        <v>35900</v>
      </c>
      <c r="K101" s="2">
        <v>0</v>
      </c>
      <c r="L101" s="2" t="s">
        <v>3</v>
      </c>
      <c r="M101" s="7" t="s">
        <v>0</v>
      </c>
      <c r="N101" s="7" t="s">
        <v>5</v>
      </c>
      <c r="O101" s="7" t="s">
        <v>810</v>
      </c>
      <c r="S101" s="7" t="s">
        <v>812</v>
      </c>
      <c r="T101" s="107"/>
      <c r="U101" s="107"/>
      <c r="V101" s="107">
        <v>12.5</v>
      </c>
      <c r="W101" s="8" t="s">
        <v>196</v>
      </c>
      <c r="X101" s="15">
        <v>44699</v>
      </c>
      <c r="Y101" s="15">
        <v>44700</v>
      </c>
      <c r="Z101" s="17" t="s">
        <v>201</v>
      </c>
      <c r="AA101" s="118">
        <v>6000</v>
      </c>
      <c r="AB101" s="7">
        <v>12</v>
      </c>
      <c r="AC101" s="7">
        <v>6</v>
      </c>
      <c r="AD101" s="15">
        <v>44925</v>
      </c>
      <c r="AE101" s="50">
        <v>416.67</v>
      </c>
      <c r="AF101" s="50"/>
      <c r="AH101" s="15">
        <v>44879</v>
      </c>
      <c r="AI101" s="7">
        <v>45086870</v>
      </c>
      <c r="AJ101" s="7" t="s">
        <v>845</v>
      </c>
      <c r="AK101" s="7" t="s">
        <v>842</v>
      </c>
      <c r="AL101" s="20">
        <v>416.67</v>
      </c>
      <c r="AM101" s="20"/>
      <c r="AN101" s="20" t="s">
        <v>826</v>
      </c>
      <c r="AO101" s="20"/>
      <c r="AP101" s="20"/>
      <c r="AQ101" s="20"/>
      <c r="AR101" s="20"/>
      <c r="AS101" s="20"/>
      <c r="AT101" s="20"/>
      <c r="AU101" s="20"/>
      <c r="AV101" s="20"/>
      <c r="AW101" s="15">
        <v>44877</v>
      </c>
      <c r="AX101" s="7">
        <v>1064</v>
      </c>
      <c r="BA101" s="20">
        <v>416.67</v>
      </c>
      <c r="BB101" s="20"/>
      <c r="BD101" s="7"/>
      <c r="CS101" s="20">
        <f t="shared" si="12"/>
        <v>416.67</v>
      </c>
      <c r="CT101" s="20">
        <f t="shared" si="13"/>
        <v>416.67</v>
      </c>
      <c r="CU101" s="20">
        <f t="shared" si="14"/>
        <v>0</v>
      </c>
      <c r="CV101" s="24">
        <f t="shared" si="15"/>
        <v>0</v>
      </c>
    </row>
    <row r="102" spans="1:100" x14ac:dyDescent="0.2">
      <c r="A102" s="7" t="s">
        <v>811</v>
      </c>
      <c r="B102" s="1">
        <v>140</v>
      </c>
      <c r="C102" s="2" t="s">
        <v>36</v>
      </c>
      <c r="D102" s="2" t="s">
        <v>37</v>
      </c>
      <c r="E102" s="1"/>
      <c r="F102" s="1"/>
      <c r="G102" s="1" t="s">
        <v>27</v>
      </c>
      <c r="H102" s="1">
        <v>3</v>
      </c>
      <c r="I102" s="18">
        <v>120.12</v>
      </c>
      <c r="J102" s="18">
        <v>35900</v>
      </c>
      <c r="K102" s="2">
        <v>0</v>
      </c>
      <c r="L102" s="2" t="s">
        <v>3</v>
      </c>
      <c r="M102" s="7" t="s">
        <v>0</v>
      </c>
      <c r="N102" s="7" t="s">
        <v>5</v>
      </c>
      <c r="O102" s="7" t="s">
        <v>810</v>
      </c>
      <c r="S102" s="7" t="s">
        <v>812</v>
      </c>
      <c r="T102" s="107"/>
      <c r="U102" s="107"/>
      <c r="V102" s="107">
        <v>12.5</v>
      </c>
      <c r="W102" s="8" t="s">
        <v>196</v>
      </c>
      <c r="X102" s="15">
        <v>44699</v>
      </c>
      <c r="Y102" s="15">
        <v>44700</v>
      </c>
      <c r="Z102" s="17" t="s">
        <v>201</v>
      </c>
      <c r="AA102" s="118">
        <v>6000</v>
      </c>
      <c r="AB102" s="7">
        <v>12</v>
      </c>
      <c r="AC102" s="7">
        <v>7</v>
      </c>
      <c r="AD102" s="15">
        <v>44956</v>
      </c>
      <c r="AE102" s="50">
        <v>416.67</v>
      </c>
      <c r="AF102" s="50"/>
      <c r="AH102" s="87">
        <v>45128</v>
      </c>
      <c r="AI102" s="7">
        <v>45086870</v>
      </c>
      <c r="AJ102" s="7" t="s">
        <v>845</v>
      </c>
      <c r="AK102" s="20" t="s">
        <v>856</v>
      </c>
      <c r="AL102" s="20">
        <v>416.67</v>
      </c>
      <c r="AM102" s="20"/>
      <c r="AN102" s="20" t="s">
        <v>868</v>
      </c>
      <c r="AO102" s="20"/>
      <c r="AP102" s="20"/>
      <c r="AQ102" s="20"/>
      <c r="AR102" s="20"/>
      <c r="AS102" s="20"/>
      <c r="AT102" s="20"/>
      <c r="AU102" s="20"/>
      <c r="AV102" s="20"/>
      <c r="AW102" s="15">
        <v>44940</v>
      </c>
      <c r="AX102" s="7">
        <v>1155</v>
      </c>
      <c r="BA102" s="20">
        <v>416.67</v>
      </c>
      <c r="BB102" s="20"/>
      <c r="BD102" s="7"/>
      <c r="CS102" s="20">
        <f t="shared" si="12"/>
        <v>416.67</v>
      </c>
      <c r="CT102" s="20">
        <f t="shared" si="13"/>
        <v>416.67</v>
      </c>
      <c r="CU102" s="20">
        <f t="shared" si="14"/>
        <v>0</v>
      </c>
      <c r="CV102" s="24">
        <f t="shared" si="15"/>
        <v>0</v>
      </c>
    </row>
    <row r="103" spans="1:100" x14ac:dyDescent="0.2">
      <c r="A103" s="7" t="s">
        <v>811</v>
      </c>
      <c r="B103" s="1">
        <v>140</v>
      </c>
      <c r="C103" s="2" t="s">
        <v>36</v>
      </c>
      <c r="D103" s="2" t="s">
        <v>37</v>
      </c>
      <c r="E103" s="1"/>
      <c r="F103" s="1"/>
      <c r="G103" s="1" t="s">
        <v>27</v>
      </c>
      <c r="H103" s="1">
        <v>3</v>
      </c>
      <c r="I103" s="18">
        <v>120.12</v>
      </c>
      <c r="J103" s="18">
        <v>35900</v>
      </c>
      <c r="K103" s="2">
        <v>0</v>
      </c>
      <c r="L103" s="2" t="s">
        <v>3</v>
      </c>
      <c r="M103" s="7" t="s">
        <v>0</v>
      </c>
      <c r="N103" s="7" t="s">
        <v>5</v>
      </c>
      <c r="O103" s="7" t="s">
        <v>810</v>
      </c>
      <c r="S103" s="7" t="s">
        <v>812</v>
      </c>
      <c r="T103" s="107"/>
      <c r="U103" s="107"/>
      <c r="V103" s="107">
        <v>12.5</v>
      </c>
      <c r="W103" s="8" t="s">
        <v>196</v>
      </c>
      <c r="X103" s="15">
        <v>44699</v>
      </c>
      <c r="Y103" s="15">
        <v>44700</v>
      </c>
      <c r="Z103" s="17" t="s">
        <v>201</v>
      </c>
      <c r="AA103" s="118">
        <v>6000</v>
      </c>
      <c r="AB103" s="7">
        <v>12</v>
      </c>
      <c r="AC103" s="7">
        <v>8</v>
      </c>
      <c r="AD103" s="15">
        <v>44985</v>
      </c>
      <c r="AE103" s="50">
        <v>416.67</v>
      </c>
      <c r="AF103" s="50"/>
      <c r="AH103" s="87">
        <v>44974</v>
      </c>
      <c r="AI103" s="7">
        <v>45086870</v>
      </c>
      <c r="AJ103" s="7" t="s">
        <v>845</v>
      </c>
      <c r="AK103" s="20" t="s">
        <v>847</v>
      </c>
      <c r="AL103" s="20">
        <v>416.67</v>
      </c>
      <c r="AM103" s="20"/>
      <c r="AN103" s="20" t="s">
        <v>859</v>
      </c>
      <c r="AO103" s="20"/>
      <c r="AP103" s="20"/>
      <c r="AQ103" s="20"/>
      <c r="AR103" s="20"/>
      <c r="AS103" s="20"/>
      <c r="AT103" s="20"/>
      <c r="AU103" s="20"/>
      <c r="AV103" s="20"/>
      <c r="AW103" s="15">
        <v>44971</v>
      </c>
      <c r="AX103" s="7">
        <v>1220</v>
      </c>
      <c r="BA103" s="20">
        <v>416.67</v>
      </c>
      <c r="BB103" s="20"/>
      <c r="BD103" s="7"/>
      <c r="CS103" s="20">
        <f t="shared" si="12"/>
        <v>416.67</v>
      </c>
      <c r="CT103" s="20">
        <f t="shared" si="13"/>
        <v>416.67</v>
      </c>
      <c r="CU103" s="20">
        <f t="shared" si="14"/>
        <v>0</v>
      </c>
      <c r="CV103" s="24">
        <f t="shared" si="15"/>
        <v>0</v>
      </c>
    </row>
    <row r="104" spans="1:100" x14ac:dyDescent="0.2">
      <c r="A104" s="7" t="s">
        <v>811</v>
      </c>
      <c r="B104" s="1">
        <v>140</v>
      </c>
      <c r="C104" s="2" t="s">
        <v>36</v>
      </c>
      <c r="D104" s="2" t="s">
        <v>37</v>
      </c>
      <c r="E104" s="1"/>
      <c r="F104" s="1"/>
      <c r="G104" s="1" t="s">
        <v>27</v>
      </c>
      <c r="H104" s="1">
        <v>3</v>
      </c>
      <c r="I104" s="18">
        <v>120.12</v>
      </c>
      <c r="J104" s="18">
        <v>35900</v>
      </c>
      <c r="K104" s="2">
        <v>0</v>
      </c>
      <c r="L104" s="2" t="s">
        <v>3</v>
      </c>
      <c r="M104" s="7" t="s">
        <v>0</v>
      </c>
      <c r="N104" s="7" t="s">
        <v>5</v>
      </c>
      <c r="O104" s="7" t="s">
        <v>810</v>
      </c>
      <c r="S104" s="7" t="s">
        <v>812</v>
      </c>
      <c r="T104" s="107"/>
      <c r="U104" s="107"/>
      <c r="V104" s="107">
        <v>12.5</v>
      </c>
      <c r="W104" s="8" t="s">
        <v>196</v>
      </c>
      <c r="X104" s="15">
        <v>44699</v>
      </c>
      <c r="Y104" s="15">
        <v>44700</v>
      </c>
      <c r="Z104" s="17" t="s">
        <v>201</v>
      </c>
      <c r="AA104" s="118">
        <v>6000</v>
      </c>
      <c r="AB104" s="7">
        <v>12</v>
      </c>
      <c r="AC104" s="7">
        <v>9</v>
      </c>
      <c r="AD104" s="15">
        <v>45015</v>
      </c>
      <c r="AE104" s="50">
        <v>416.67</v>
      </c>
      <c r="AF104" s="50"/>
      <c r="AH104" s="87">
        <v>45012</v>
      </c>
      <c r="AI104" s="7">
        <v>45086870</v>
      </c>
      <c r="AJ104" s="7" t="s">
        <v>845</v>
      </c>
      <c r="AK104" s="20" t="s">
        <v>849</v>
      </c>
      <c r="AL104" s="20">
        <v>416.67</v>
      </c>
      <c r="AM104" s="20"/>
      <c r="AN104" s="20" t="s">
        <v>861</v>
      </c>
      <c r="AO104" s="20"/>
      <c r="AP104" s="20"/>
      <c r="AQ104" s="20"/>
      <c r="AR104" s="20"/>
      <c r="AS104" s="20"/>
      <c r="AT104" s="20"/>
      <c r="AU104" s="20"/>
      <c r="AV104" s="20"/>
      <c r="AW104" s="15">
        <v>44999</v>
      </c>
      <c r="AX104" s="7">
        <v>1317</v>
      </c>
      <c r="BA104" s="20">
        <v>416.67</v>
      </c>
      <c r="BB104" s="20"/>
      <c r="BD104" s="7"/>
      <c r="CS104" s="20">
        <f t="shared" si="12"/>
        <v>416.67</v>
      </c>
      <c r="CT104" s="20">
        <f t="shared" si="13"/>
        <v>416.67</v>
      </c>
      <c r="CU104" s="20">
        <f t="shared" si="14"/>
        <v>0</v>
      </c>
      <c r="CV104" s="24">
        <f t="shared" si="15"/>
        <v>0</v>
      </c>
    </row>
    <row r="105" spans="1:100" x14ac:dyDescent="0.2">
      <c r="A105" s="7" t="s">
        <v>811</v>
      </c>
      <c r="B105" s="1">
        <v>140</v>
      </c>
      <c r="C105" s="2" t="s">
        <v>36</v>
      </c>
      <c r="D105" s="2" t="s">
        <v>37</v>
      </c>
      <c r="E105" s="1"/>
      <c r="F105" s="1"/>
      <c r="G105" s="1" t="s">
        <v>27</v>
      </c>
      <c r="H105" s="1">
        <v>3</v>
      </c>
      <c r="I105" s="18">
        <v>120.12</v>
      </c>
      <c r="J105" s="18">
        <v>35900</v>
      </c>
      <c r="K105" s="2">
        <v>0</v>
      </c>
      <c r="L105" s="2" t="s">
        <v>3</v>
      </c>
      <c r="M105" s="7" t="s">
        <v>0</v>
      </c>
      <c r="N105" s="7" t="s">
        <v>5</v>
      </c>
      <c r="O105" s="7" t="s">
        <v>810</v>
      </c>
      <c r="S105" s="7" t="s">
        <v>812</v>
      </c>
      <c r="T105" s="107"/>
      <c r="U105" s="107"/>
      <c r="V105" s="107">
        <v>12.5</v>
      </c>
      <c r="W105" s="8" t="s">
        <v>196</v>
      </c>
      <c r="X105" s="15">
        <v>44699</v>
      </c>
      <c r="Y105" s="15">
        <v>44700</v>
      </c>
      <c r="Z105" s="17" t="s">
        <v>201</v>
      </c>
      <c r="AA105" s="118">
        <v>6000</v>
      </c>
      <c r="AB105" s="7">
        <v>12</v>
      </c>
      <c r="AC105" s="7">
        <v>10</v>
      </c>
      <c r="AD105" s="15">
        <v>45046</v>
      </c>
      <c r="AE105" s="50">
        <v>416.67</v>
      </c>
      <c r="AF105" s="50"/>
      <c r="AH105" s="87">
        <v>45029</v>
      </c>
      <c r="AI105" s="7">
        <v>45086870</v>
      </c>
      <c r="AJ105" s="7" t="s">
        <v>845</v>
      </c>
      <c r="AK105" s="20" t="s">
        <v>850</v>
      </c>
      <c r="AL105" s="20">
        <v>416.67</v>
      </c>
      <c r="AM105" s="20"/>
      <c r="AN105" s="20" t="s">
        <v>862</v>
      </c>
      <c r="AO105" s="20"/>
      <c r="AP105" s="20"/>
      <c r="AQ105" s="20"/>
      <c r="AR105" s="20"/>
      <c r="AS105" s="20"/>
      <c r="AT105" s="20"/>
      <c r="AU105" s="20"/>
      <c r="AV105" s="20"/>
      <c r="AW105" s="15">
        <v>45028</v>
      </c>
      <c r="AX105" s="7">
        <v>1405</v>
      </c>
      <c r="BA105" s="20">
        <v>416.67</v>
      </c>
      <c r="BB105" s="20"/>
      <c r="BD105" s="7"/>
      <c r="CS105" s="20">
        <f t="shared" si="12"/>
        <v>416.67</v>
      </c>
      <c r="CT105" s="20">
        <f t="shared" si="13"/>
        <v>416.67</v>
      </c>
      <c r="CU105" s="20">
        <f t="shared" si="14"/>
        <v>0</v>
      </c>
      <c r="CV105" s="24">
        <f t="shared" si="15"/>
        <v>0</v>
      </c>
    </row>
    <row r="106" spans="1:100" x14ac:dyDescent="0.2">
      <c r="A106" s="7" t="s">
        <v>811</v>
      </c>
      <c r="B106" s="1">
        <v>140</v>
      </c>
      <c r="C106" s="2" t="s">
        <v>36</v>
      </c>
      <c r="D106" s="2" t="s">
        <v>37</v>
      </c>
      <c r="E106" s="1"/>
      <c r="F106" s="1"/>
      <c r="G106" s="1" t="s">
        <v>27</v>
      </c>
      <c r="H106" s="1">
        <v>3</v>
      </c>
      <c r="I106" s="18">
        <v>120.12</v>
      </c>
      <c r="J106" s="18">
        <v>35900</v>
      </c>
      <c r="K106" s="2">
        <v>0</v>
      </c>
      <c r="L106" s="2" t="s">
        <v>3</v>
      </c>
      <c r="M106" s="7" t="s">
        <v>0</v>
      </c>
      <c r="N106" s="7" t="s">
        <v>5</v>
      </c>
      <c r="O106" s="7" t="s">
        <v>810</v>
      </c>
      <c r="S106" s="7" t="s">
        <v>812</v>
      </c>
      <c r="T106" s="107"/>
      <c r="U106" s="107"/>
      <c r="V106" s="107">
        <v>12.5</v>
      </c>
      <c r="W106" s="8" t="s">
        <v>196</v>
      </c>
      <c r="X106" s="15">
        <v>44699</v>
      </c>
      <c r="Y106" s="15">
        <v>44700</v>
      </c>
      <c r="Z106" s="17" t="s">
        <v>201</v>
      </c>
      <c r="AA106" s="118">
        <v>6000</v>
      </c>
      <c r="AB106" s="7">
        <v>12</v>
      </c>
      <c r="AC106" s="7">
        <v>11</v>
      </c>
      <c r="AD106" s="15">
        <v>45076</v>
      </c>
      <c r="AE106" s="50">
        <v>416.67</v>
      </c>
      <c r="AF106" s="50"/>
      <c r="AH106" s="87">
        <v>45061</v>
      </c>
      <c r="AI106" s="7">
        <v>45086870</v>
      </c>
      <c r="AJ106" s="7" t="s">
        <v>845</v>
      </c>
      <c r="AK106" s="20" t="s">
        <v>853</v>
      </c>
      <c r="AL106" s="20">
        <v>416.67</v>
      </c>
      <c r="AM106" s="20"/>
      <c r="AN106" s="20" t="s">
        <v>865</v>
      </c>
      <c r="AO106" s="20"/>
      <c r="AP106" s="20"/>
      <c r="AQ106" s="20"/>
      <c r="AR106" s="20"/>
      <c r="AS106" s="20"/>
      <c r="AT106" s="20"/>
      <c r="AU106" s="20"/>
      <c r="AV106" s="20"/>
      <c r="AW106" s="15">
        <v>45059</v>
      </c>
      <c r="AX106" s="7">
        <v>1510</v>
      </c>
      <c r="BA106" s="20">
        <v>416.67</v>
      </c>
      <c r="BB106" s="20"/>
      <c r="BD106" s="7"/>
      <c r="CS106" s="20">
        <f t="shared" si="12"/>
        <v>416.67</v>
      </c>
      <c r="CT106" s="20">
        <f t="shared" si="13"/>
        <v>416.67</v>
      </c>
      <c r="CU106" s="20">
        <f t="shared" si="14"/>
        <v>0</v>
      </c>
      <c r="CV106" s="24">
        <f t="shared" si="15"/>
        <v>0</v>
      </c>
    </row>
    <row r="107" spans="1:100" x14ac:dyDescent="0.2">
      <c r="A107" s="7" t="s">
        <v>811</v>
      </c>
      <c r="B107" s="1">
        <v>140</v>
      </c>
      <c r="C107" s="2" t="s">
        <v>36</v>
      </c>
      <c r="D107" s="2" t="s">
        <v>37</v>
      </c>
      <c r="E107" s="1"/>
      <c r="F107" s="1"/>
      <c r="G107" s="1" t="s">
        <v>27</v>
      </c>
      <c r="H107" s="1">
        <v>3</v>
      </c>
      <c r="I107" s="18">
        <v>120.12</v>
      </c>
      <c r="J107" s="18">
        <v>35900</v>
      </c>
      <c r="K107" s="2">
        <v>0</v>
      </c>
      <c r="L107" s="2" t="s">
        <v>3</v>
      </c>
      <c r="M107" s="7" t="s">
        <v>0</v>
      </c>
      <c r="N107" s="7" t="s">
        <v>5</v>
      </c>
      <c r="O107" s="7" t="s">
        <v>810</v>
      </c>
      <c r="S107" s="7" t="s">
        <v>812</v>
      </c>
      <c r="T107" s="107"/>
      <c r="U107" s="107"/>
      <c r="V107" s="107">
        <v>12.5</v>
      </c>
      <c r="W107" s="8" t="s">
        <v>196</v>
      </c>
      <c r="X107" s="15">
        <v>44699</v>
      </c>
      <c r="Y107" s="15">
        <v>44700</v>
      </c>
      <c r="Z107" s="17" t="s">
        <v>201</v>
      </c>
      <c r="AA107" s="118">
        <v>6000</v>
      </c>
      <c r="AB107" s="7">
        <v>12</v>
      </c>
      <c r="AC107" s="7">
        <v>12</v>
      </c>
      <c r="AD107" s="15">
        <v>45107</v>
      </c>
      <c r="AE107" s="50">
        <v>416.67</v>
      </c>
      <c r="AF107" s="50"/>
      <c r="AH107" s="87">
        <v>45091</v>
      </c>
      <c r="AI107" s="7">
        <v>45086870</v>
      </c>
      <c r="AJ107" s="7" t="s">
        <v>845</v>
      </c>
      <c r="AK107" s="20" t="s">
        <v>854</v>
      </c>
      <c r="AL107" s="20">
        <v>416.67</v>
      </c>
      <c r="AM107" s="20"/>
      <c r="AN107" s="20" t="s">
        <v>866</v>
      </c>
      <c r="AO107" s="20"/>
      <c r="AP107" s="20"/>
      <c r="AQ107" s="20"/>
      <c r="AR107" s="20"/>
      <c r="AS107" s="20"/>
      <c r="AT107" s="20"/>
      <c r="AU107" s="20"/>
      <c r="AV107" s="20"/>
      <c r="AW107" s="15">
        <v>45091</v>
      </c>
      <c r="AX107" s="7">
        <v>1627</v>
      </c>
      <c r="BA107" s="20">
        <v>416.67</v>
      </c>
      <c r="BB107" s="20"/>
      <c r="BD107" s="7"/>
      <c r="CS107" s="20">
        <f t="shared" si="12"/>
        <v>416.67</v>
      </c>
      <c r="CT107" s="20">
        <f t="shared" si="13"/>
        <v>416.67</v>
      </c>
      <c r="CU107" s="20">
        <f t="shared" si="14"/>
        <v>0</v>
      </c>
      <c r="CV107" s="24">
        <f t="shared" si="15"/>
        <v>0</v>
      </c>
    </row>
    <row r="108" spans="1:100" x14ac:dyDescent="0.2">
      <c r="A108" s="7" t="s">
        <v>766</v>
      </c>
      <c r="B108" s="1">
        <v>11</v>
      </c>
      <c r="C108" s="2" t="s">
        <v>36</v>
      </c>
      <c r="D108" s="2" t="s">
        <v>37</v>
      </c>
      <c r="E108" s="1"/>
      <c r="F108" s="1"/>
      <c r="G108" s="1" t="s">
        <v>17</v>
      </c>
      <c r="H108" s="1">
        <v>5</v>
      </c>
      <c r="I108" s="18">
        <v>125.84</v>
      </c>
      <c r="J108" s="18">
        <v>37900</v>
      </c>
      <c r="K108" s="2">
        <v>0</v>
      </c>
      <c r="L108" s="2" t="s">
        <v>3</v>
      </c>
      <c r="M108" s="7" t="s">
        <v>0</v>
      </c>
      <c r="N108" s="7" t="s">
        <v>6</v>
      </c>
      <c r="O108" s="7" t="s">
        <v>765</v>
      </c>
      <c r="S108" s="7" t="s">
        <v>96</v>
      </c>
      <c r="T108" s="8" t="s">
        <v>17</v>
      </c>
      <c r="U108" s="8">
        <v>8</v>
      </c>
      <c r="W108" s="8" t="s">
        <v>196</v>
      </c>
      <c r="X108" s="15">
        <v>44577</v>
      </c>
      <c r="Y108" s="15">
        <v>45167</v>
      </c>
      <c r="Z108" s="17" t="s">
        <v>201</v>
      </c>
      <c r="AA108" s="118">
        <v>32694.45</v>
      </c>
      <c r="AB108" s="7">
        <v>35</v>
      </c>
      <c r="AC108" s="7">
        <v>0</v>
      </c>
      <c r="AD108" s="15">
        <v>44577</v>
      </c>
      <c r="AE108" s="50">
        <v>500</v>
      </c>
      <c r="AF108" s="50"/>
      <c r="AG108" s="8" t="s">
        <v>72</v>
      </c>
      <c r="AH108" s="16">
        <v>44577</v>
      </c>
      <c r="AI108" s="8">
        <v>41687912</v>
      </c>
      <c r="AJ108" s="7" t="s">
        <v>787</v>
      </c>
      <c r="AK108" s="7" t="s">
        <v>777</v>
      </c>
      <c r="AL108" s="20">
        <v>500</v>
      </c>
      <c r="AM108" s="20"/>
      <c r="AN108" s="20" t="s">
        <v>767</v>
      </c>
      <c r="AO108" s="20"/>
      <c r="AP108" s="20"/>
      <c r="AQ108" s="20"/>
      <c r="AR108" s="20"/>
      <c r="AS108" s="20"/>
      <c r="AT108" s="20"/>
      <c r="AU108" s="20"/>
      <c r="AV108" s="20"/>
      <c r="AW108" s="15">
        <v>44578</v>
      </c>
      <c r="AX108" s="7">
        <v>409</v>
      </c>
      <c r="BA108" s="20">
        <v>500</v>
      </c>
      <c r="BB108" s="20"/>
      <c r="BD108" s="7"/>
      <c r="CS108" s="9">
        <f t="shared" si="12"/>
        <v>500</v>
      </c>
      <c r="CT108" s="20">
        <f t="shared" si="13"/>
        <v>500</v>
      </c>
      <c r="CU108" s="20">
        <f t="shared" si="14"/>
        <v>0</v>
      </c>
      <c r="CV108" s="24">
        <f t="shared" si="15"/>
        <v>0</v>
      </c>
    </row>
    <row r="109" spans="1:100" x14ac:dyDescent="0.2">
      <c r="A109" s="7" t="s">
        <v>766</v>
      </c>
      <c r="B109" s="1">
        <v>11</v>
      </c>
      <c r="C109" s="2" t="s">
        <v>36</v>
      </c>
      <c r="D109" s="2" t="s">
        <v>37</v>
      </c>
      <c r="E109" s="1"/>
      <c r="F109" s="1"/>
      <c r="G109" s="1" t="s">
        <v>17</v>
      </c>
      <c r="H109" s="1">
        <v>5</v>
      </c>
      <c r="I109" s="18">
        <v>125.84</v>
      </c>
      <c r="J109" s="18">
        <v>37900</v>
      </c>
      <c r="K109" s="2">
        <v>0</v>
      </c>
      <c r="L109" s="2" t="s">
        <v>3</v>
      </c>
      <c r="M109" s="7" t="s">
        <v>0</v>
      </c>
      <c r="N109" s="7" t="s">
        <v>6</v>
      </c>
      <c r="O109" s="7" t="s">
        <v>765</v>
      </c>
      <c r="S109" s="7" t="s">
        <v>96</v>
      </c>
      <c r="T109" s="8" t="s">
        <v>17</v>
      </c>
      <c r="U109" s="8">
        <v>8</v>
      </c>
      <c r="W109" s="8" t="s">
        <v>196</v>
      </c>
      <c r="X109" s="15">
        <v>44577</v>
      </c>
      <c r="Y109" s="15">
        <v>45167</v>
      </c>
      <c r="Z109" s="17" t="s">
        <v>201</v>
      </c>
      <c r="AA109" s="118">
        <v>32694.45</v>
      </c>
      <c r="AB109" s="7">
        <v>35</v>
      </c>
      <c r="AC109" s="7">
        <v>0</v>
      </c>
      <c r="AD109" s="15">
        <v>44580</v>
      </c>
      <c r="AE109" s="50">
        <v>3500</v>
      </c>
      <c r="AF109" s="50"/>
      <c r="AG109" s="8" t="s">
        <v>72</v>
      </c>
      <c r="AH109" s="16">
        <v>44580</v>
      </c>
      <c r="AI109" s="8">
        <v>41687912</v>
      </c>
      <c r="AJ109" s="7" t="s">
        <v>787</v>
      </c>
      <c r="AK109" s="7" t="s">
        <v>778</v>
      </c>
      <c r="AL109" s="20">
        <v>3500</v>
      </c>
      <c r="AM109" s="20"/>
      <c r="AN109" s="20" t="s">
        <v>768</v>
      </c>
      <c r="AO109" s="20"/>
      <c r="AP109" s="20"/>
      <c r="AQ109" s="20"/>
      <c r="AR109" s="20"/>
      <c r="AS109" s="20"/>
      <c r="AT109" s="20"/>
      <c r="AU109" s="20"/>
      <c r="AV109" s="20"/>
      <c r="AW109" s="15">
        <v>44582</v>
      </c>
      <c r="AX109" s="7">
        <v>411</v>
      </c>
      <c r="BA109" s="20">
        <v>3500</v>
      </c>
      <c r="BB109" s="20"/>
      <c r="BD109" s="7"/>
      <c r="CS109" s="9">
        <f t="shared" si="12"/>
        <v>3500</v>
      </c>
      <c r="CT109" s="20">
        <f t="shared" si="13"/>
        <v>3500</v>
      </c>
      <c r="CU109" s="20">
        <f t="shared" si="14"/>
        <v>0</v>
      </c>
      <c r="CV109" s="24">
        <f t="shared" si="15"/>
        <v>0</v>
      </c>
    </row>
    <row r="110" spans="1:100" x14ac:dyDescent="0.2">
      <c r="A110" s="7" t="s">
        <v>766</v>
      </c>
      <c r="B110" s="1">
        <v>11</v>
      </c>
      <c r="C110" s="2" t="s">
        <v>36</v>
      </c>
      <c r="D110" s="2" t="s">
        <v>37</v>
      </c>
      <c r="E110" s="1"/>
      <c r="F110" s="1"/>
      <c r="G110" s="1" t="s">
        <v>17</v>
      </c>
      <c r="H110" s="1">
        <v>5</v>
      </c>
      <c r="I110" s="18">
        <v>125.84</v>
      </c>
      <c r="J110" s="18">
        <v>37900</v>
      </c>
      <c r="K110" s="2">
        <v>0</v>
      </c>
      <c r="L110" s="2" t="s">
        <v>3</v>
      </c>
      <c r="M110" s="7" t="s">
        <v>0</v>
      </c>
      <c r="N110" s="7" t="s">
        <v>6</v>
      </c>
      <c r="O110" s="7" t="s">
        <v>765</v>
      </c>
      <c r="S110" s="7" t="s">
        <v>96</v>
      </c>
      <c r="T110" s="8" t="s">
        <v>17</v>
      </c>
      <c r="U110" s="8">
        <v>8</v>
      </c>
      <c r="W110" s="8" t="s">
        <v>196</v>
      </c>
      <c r="X110" s="15">
        <v>44577</v>
      </c>
      <c r="Y110" s="15">
        <v>45167</v>
      </c>
      <c r="Z110" s="17" t="s">
        <v>201</v>
      </c>
      <c r="AA110" s="118">
        <v>32694.45</v>
      </c>
      <c r="AB110" s="7">
        <v>35</v>
      </c>
      <c r="AC110" s="7">
        <v>1</v>
      </c>
      <c r="AD110" s="15">
        <v>44620</v>
      </c>
      <c r="AE110" s="50">
        <v>100</v>
      </c>
      <c r="AF110" s="50"/>
      <c r="AG110" s="8" t="s">
        <v>72</v>
      </c>
      <c r="AH110" s="16">
        <v>44616</v>
      </c>
      <c r="AI110" s="8">
        <v>41687912</v>
      </c>
      <c r="AJ110" s="7" t="s">
        <v>787</v>
      </c>
      <c r="AK110" s="7" t="s">
        <v>779</v>
      </c>
      <c r="AL110" s="20">
        <v>100</v>
      </c>
      <c r="AM110" s="20"/>
      <c r="AN110" s="20" t="s">
        <v>769</v>
      </c>
      <c r="AO110" s="20"/>
      <c r="AP110" s="20"/>
      <c r="AQ110" s="20"/>
      <c r="AR110" s="20"/>
      <c r="AS110" s="20"/>
      <c r="AT110" s="20"/>
      <c r="AU110" s="20"/>
      <c r="AV110" s="20"/>
      <c r="AW110" s="15">
        <v>44615</v>
      </c>
      <c r="AX110" s="7">
        <v>473</v>
      </c>
      <c r="BA110" s="20">
        <v>100</v>
      </c>
      <c r="BB110" s="20"/>
      <c r="BD110" s="7"/>
      <c r="CS110" s="9">
        <f t="shared" si="12"/>
        <v>100</v>
      </c>
      <c r="CT110" s="20">
        <f t="shared" si="13"/>
        <v>100</v>
      </c>
      <c r="CU110" s="20">
        <f t="shared" si="14"/>
        <v>0</v>
      </c>
      <c r="CV110" s="24">
        <f t="shared" si="15"/>
        <v>0</v>
      </c>
    </row>
    <row r="111" spans="1:100" x14ac:dyDescent="0.2">
      <c r="A111" s="7" t="s">
        <v>766</v>
      </c>
      <c r="B111" s="1">
        <v>11</v>
      </c>
      <c r="C111" s="2" t="s">
        <v>36</v>
      </c>
      <c r="D111" s="2" t="s">
        <v>37</v>
      </c>
      <c r="E111" s="1"/>
      <c r="F111" s="1"/>
      <c r="G111" s="1" t="s">
        <v>17</v>
      </c>
      <c r="H111" s="1">
        <v>5</v>
      </c>
      <c r="I111" s="18">
        <v>125.84</v>
      </c>
      <c r="J111" s="18">
        <v>37900</v>
      </c>
      <c r="K111" s="2">
        <v>0</v>
      </c>
      <c r="L111" s="2" t="s">
        <v>3</v>
      </c>
      <c r="M111" s="7" t="s">
        <v>0</v>
      </c>
      <c r="N111" s="7" t="s">
        <v>6</v>
      </c>
      <c r="O111" s="7" t="s">
        <v>765</v>
      </c>
      <c r="S111" s="7" t="s">
        <v>96</v>
      </c>
      <c r="T111" s="8" t="s">
        <v>17</v>
      </c>
      <c r="U111" s="8">
        <v>8</v>
      </c>
      <c r="W111" s="8" t="s">
        <v>196</v>
      </c>
      <c r="X111" s="15">
        <v>44577</v>
      </c>
      <c r="Y111" s="15">
        <v>45167</v>
      </c>
      <c r="Z111" s="17" t="s">
        <v>201</v>
      </c>
      <c r="AA111" s="118">
        <v>32694.45</v>
      </c>
      <c r="AB111" s="7">
        <v>35</v>
      </c>
      <c r="AC111" s="7">
        <v>2</v>
      </c>
      <c r="AD111" s="15">
        <v>44650</v>
      </c>
      <c r="AE111" s="50">
        <v>100</v>
      </c>
      <c r="AF111" s="50"/>
      <c r="AG111" s="8" t="s">
        <v>72</v>
      </c>
      <c r="AH111" s="16">
        <v>44650</v>
      </c>
      <c r="AI111" s="8">
        <v>41687912</v>
      </c>
      <c r="AJ111" s="7" t="s">
        <v>787</v>
      </c>
      <c r="AK111" s="7" t="s">
        <v>780</v>
      </c>
      <c r="AL111" s="20">
        <v>100</v>
      </c>
      <c r="AM111" s="20"/>
      <c r="AN111" s="20" t="s">
        <v>770</v>
      </c>
      <c r="AO111" s="20"/>
      <c r="AP111" s="20"/>
      <c r="AQ111" s="20"/>
      <c r="AR111" s="20"/>
      <c r="AS111" s="20"/>
      <c r="AT111" s="20"/>
      <c r="AU111" s="20"/>
      <c r="AV111" s="20"/>
      <c r="AW111" s="15">
        <v>44650</v>
      </c>
      <c r="AX111" s="7">
        <v>549</v>
      </c>
      <c r="BA111" s="20">
        <v>100</v>
      </c>
      <c r="BB111" s="20"/>
      <c r="BD111" s="7"/>
      <c r="CS111" s="9">
        <f t="shared" si="12"/>
        <v>100</v>
      </c>
      <c r="CT111" s="20">
        <f t="shared" si="13"/>
        <v>100</v>
      </c>
      <c r="CU111" s="20">
        <f t="shared" si="14"/>
        <v>0</v>
      </c>
      <c r="CV111" s="24">
        <f t="shared" si="15"/>
        <v>0</v>
      </c>
    </row>
    <row r="112" spans="1:100" x14ac:dyDescent="0.2">
      <c r="A112" s="7" t="s">
        <v>766</v>
      </c>
      <c r="B112" s="1">
        <v>11</v>
      </c>
      <c r="C112" s="2" t="s">
        <v>36</v>
      </c>
      <c r="D112" s="2" t="s">
        <v>37</v>
      </c>
      <c r="E112" s="1"/>
      <c r="F112" s="1"/>
      <c r="G112" s="1" t="s">
        <v>17</v>
      </c>
      <c r="H112" s="1">
        <v>5</v>
      </c>
      <c r="I112" s="18">
        <v>125.84</v>
      </c>
      <c r="J112" s="18">
        <v>37900</v>
      </c>
      <c r="K112" s="2">
        <v>0</v>
      </c>
      <c r="L112" s="2" t="s">
        <v>3</v>
      </c>
      <c r="M112" s="7" t="s">
        <v>0</v>
      </c>
      <c r="N112" s="7" t="s">
        <v>6</v>
      </c>
      <c r="O112" s="7" t="s">
        <v>765</v>
      </c>
      <c r="S112" s="7" t="s">
        <v>96</v>
      </c>
      <c r="T112" s="8" t="s">
        <v>17</v>
      </c>
      <c r="U112" s="8">
        <v>8</v>
      </c>
      <c r="W112" s="8" t="s">
        <v>196</v>
      </c>
      <c r="X112" s="15">
        <v>44577</v>
      </c>
      <c r="Y112" s="15">
        <v>45167</v>
      </c>
      <c r="Z112" s="17" t="s">
        <v>201</v>
      </c>
      <c r="AA112" s="118">
        <v>32694.45</v>
      </c>
      <c r="AB112" s="7">
        <v>35</v>
      </c>
      <c r="AC112" s="7">
        <v>3</v>
      </c>
      <c r="AD112" s="15">
        <v>44681</v>
      </c>
      <c r="AE112" s="50">
        <v>100</v>
      </c>
      <c r="AF112" s="50"/>
      <c r="AG112" s="8" t="s">
        <v>72</v>
      </c>
      <c r="AH112" s="16">
        <v>44681</v>
      </c>
      <c r="AI112" s="8">
        <v>41687912</v>
      </c>
      <c r="AJ112" s="7" t="s">
        <v>787</v>
      </c>
      <c r="AK112" s="7" t="s">
        <v>781</v>
      </c>
      <c r="AL112" s="20">
        <v>100</v>
      </c>
      <c r="AM112" s="20"/>
      <c r="AN112" s="20" t="s">
        <v>771</v>
      </c>
      <c r="AO112" s="20"/>
      <c r="AP112" s="20"/>
      <c r="AQ112" s="20"/>
      <c r="AR112" s="20"/>
      <c r="AS112" s="20"/>
      <c r="AT112" s="20"/>
      <c r="AU112" s="20"/>
      <c r="AV112" s="20"/>
      <c r="AW112" s="15">
        <v>44680</v>
      </c>
      <c r="AX112" s="7">
        <v>595</v>
      </c>
      <c r="BA112" s="20">
        <v>100</v>
      </c>
      <c r="BB112" s="20"/>
      <c r="BD112" s="7"/>
      <c r="CS112" s="9">
        <f t="shared" si="12"/>
        <v>100</v>
      </c>
      <c r="CT112" s="20">
        <f t="shared" si="13"/>
        <v>100</v>
      </c>
      <c r="CU112" s="20">
        <f t="shared" si="14"/>
        <v>0</v>
      </c>
      <c r="CV112" s="24">
        <f t="shared" si="15"/>
        <v>0</v>
      </c>
    </row>
    <row r="113" spans="1:100" x14ac:dyDescent="0.2">
      <c r="A113" s="7" t="s">
        <v>766</v>
      </c>
      <c r="B113" s="1">
        <v>11</v>
      </c>
      <c r="C113" s="2" t="s">
        <v>36</v>
      </c>
      <c r="D113" s="2" t="s">
        <v>37</v>
      </c>
      <c r="E113" s="1"/>
      <c r="F113" s="1"/>
      <c r="G113" s="1" t="s">
        <v>17</v>
      </c>
      <c r="H113" s="1">
        <v>5</v>
      </c>
      <c r="I113" s="18">
        <v>125.84</v>
      </c>
      <c r="J113" s="18">
        <v>37900</v>
      </c>
      <c r="K113" s="2">
        <v>0</v>
      </c>
      <c r="L113" s="2" t="s">
        <v>3</v>
      </c>
      <c r="M113" s="7" t="s">
        <v>0</v>
      </c>
      <c r="N113" s="7" t="s">
        <v>6</v>
      </c>
      <c r="O113" s="7" t="s">
        <v>765</v>
      </c>
      <c r="S113" s="7" t="s">
        <v>96</v>
      </c>
      <c r="T113" s="8" t="s">
        <v>17</v>
      </c>
      <c r="U113" s="8">
        <v>8</v>
      </c>
      <c r="W113" s="8" t="s">
        <v>196</v>
      </c>
      <c r="X113" s="15">
        <v>44577</v>
      </c>
      <c r="Y113" s="15">
        <v>45167</v>
      </c>
      <c r="Z113" s="17" t="s">
        <v>201</v>
      </c>
      <c r="AA113" s="118">
        <v>32694.45</v>
      </c>
      <c r="AB113" s="7">
        <v>35</v>
      </c>
      <c r="AC113" s="7">
        <v>4</v>
      </c>
      <c r="AD113" s="15">
        <v>44711</v>
      </c>
      <c r="AE113" s="50">
        <v>100</v>
      </c>
      <c r="AF113" s="50"/>
      <c r="AG113" s="8" t="s">
        <v>72</v>
      </c>
      <c r="AH113" s="16">
        <v>44712</v>
      </c>
      <c r="AI113" s="8">
        <v>41687912</v>
      </c>
      <c r="AJ113" s="7" t="s">
        <v>787</v>
      </c>
      <c r="AK113" s="7" t="s">
        <v>782</v>
      </c>
      <c r="AL113" s="20">
        <v>100</v>
      </c>
      <c r="AM113" s="20"/>
      <c r="AN113" s="20" t="s">
        <v>772</v>
      </c>
      <c r="AO113" s="20"/>
      <c r="AP113" s="20"/>
      <c r="AQ113" s="20"/>
      <c r="AR113" s="20"/>
      <c r="AS113" s="20"/>
      <c r="AT113" s="20"/>
      <c r="AU113" s="20"/>
      <c r="AV113" s="20"/>
      <c r="AW113" s="15">
        <v>44711</v>
      </c>
      <c r="AX113" s="7">
        <v>672</v>
      </c>
      <c r="BA113" s="20">
        <v>100</v>
      </c>
      <c r="BB113" s="20" t="s">
        <v>204</v>
      </c>
      <c r="BD113" s="7"/>
      <c r="CS113" s="9">
        <f t="shared" si="12"/>
        <v>100</v>
      </c>
      <c r="CT113" s="20">
        <f t="shared" si="13"/>
        <v>100</v>
      </c>
      <c r="CU113" s="20">
        <f t="shared" si="14"/>
        <v>0</v>
      </c>
      <c r="CV113" s="24">
        <f t="shared" si="15"/>
        <v>0</v>
      </c>
    </row>
    <row r="114" spans="1:100" x14ac:dyDescent="0.2">
      <c r="A114" s="7" t="s">
        <v>766</v>
      </c>
      <c r="B114" s="1">
        <v>11</v>
      </c>
      <c r="C114" s="2" t="s">
        <v>36</v>
      </c>
      <c r="D114" s="2" t="s">
        <v>37</v>
      </c>
      <c r="E114" s="1"/>
      <c r="F114" s="1"/>
      <c r="G114" s="1" t="s">
        <v>17</v>
      </c>
      <c r="H114" s="1">
        <v>5</v>
      </c>
      <c r="I114" s="18">
        <v>125.84</v>
      </c>
      <c r="J114" s="18">
        <v>37900</v>
      </c>
      <c r="K114" s="2">
        <v>0</v>
      </c>
      <c r="L114" s="2" t="s">
        <v>3</v>
      </c>
      <c r="M114" s="7" t="s">
        <v>0</v>
      </c>
      <c r="N114" s="7" t="s">
        <v>6</v>
      </c>
      <c r="O114" s="7" t="s">
        <v>765</v>
      </c>
      <c r="S114" s="7" t="s">
        <v>96</v>
      </c>
      <c r="T114" s="8" t="s">
        <v>17</v>
      </c>
      <c r="U114" s="8">
        <v>8</v>
      </c>
      <c r="W114" s="8" t="s">
        <v>196</v>
      </c>
      <c r="X114" s="15">
        <v>44577</v>
      </c>
      <c r="Y114" s="15">
        <v>45167</v>
      </c>
      <c r="Z114" s="17" t="s">
        <v>201</v>
      </c>
      <c r="AA114" s="118">
        <v>32694.45</v>
      </c>
      <c r="AB114" s="7">
        <v>35</v>
      </c>
      <c r="AC114" s="7">
        <v>5</v>
      </c>
      <c r="AD114" s="15">
        <v>44742</v>
      </c>
      <c r="AE114" s="50">
        <v>100</v>
      </c>
      <c r="AF114" s="50"/>
      <c r="AG114" s="8" t="s">
        <v>72</v>
      </c>
      <c r="AH114" s="16">
        <v>44742</v>
      </c>
      <c r="AI114" s="8">
        <v>41687912</v>
      </c>
      <c r="AJ114" s="7" t="s">
        <v>787</v>
      </c>
      <c r="AK114" s="7" t="s">
        <v>783</v>
      </c>
      <c r="AL114" s="20">
        <v>100</v>
      </c>
      <c r="AM114" s="20"/>
      <c r="AN114" s="20" t="s">
        <v>773</v>
      </c>
      <c r="AO114" s="20"/>
      <c r="AP114" s="20"/>
      <c r="AQ114" s="20"/>
      <c r="AR114" s="20"/>
      <c r="AS114" s="20"/>
      <c r="AT114" s="20"/>
      <c r="AU114" s="20"/>
      <c r="AV114" s="20"/>
      <c r="AW114" s="15">
        <v>44742</v>
      </c>
      <c r="AX114" s="7">
        <v>742</v>
      </c>
      <c r="BA114" s="20">
        <v>100</v>
      </c>
      <c r="BB114" s="20"/>
      <c r="BD114" s="7"/>
      <c r="CS114" s="9">
        <f t="shared" si="12"/>
        <v>100</v>
      </c>
      <c r="CT114" s="20">
        <f t="shared" si="13"/>
        <v>100</v>
      </c>
      <c r="CU114" s="20">
        <f t="shared" si="14"/>
        <v>0</v>
      </c>
      <c r="CV114" s="24">
        <f t="shared" si="15"/>
        <v>0</v>
      </c>
    </row>
    <row r="115" spans="1:100" x14ac:dyDescent="0.2">
      <c r="A115" s="7" t="s">
        <v>766</v>
      </c>
      <c r="B115" s="1">
        <v>11</v>
      </c>
      <c r="C115" s="2" t="s">
        <v>36</v>
      </c>
      <c r="D115" s="2" t="s">
        <v>37</v>
      </c>
      <c r="E115" s="1"/>
      <c r="F115" s="1"/>
      <c r="G115" s="1" t="s">
        <v>17</v>
      </c>
      <c r="H115" s="1">
        <v>5</v>
      </c>
      <c r="I115" s="18">
        <v>125.84</v>
      </c>
      <c r="J115" s="18">
        <v>37900</v>
      </c>
      <c r="K115" s="2">
        <v>0</v>
      </c>
      <c r="L115" s="2" t="s">
        <v>3</v>
      </c>
      <c r="M115" s="7" t="s">
        <v>0</v>
      </c>
      <c r="N115" s="7" t="s">
        <v>6</v>
      </c>
      <c r="O115" s="7" t="s">
        <v>765</v>
      </c>
      <c r="S115" s="7" t="s">
        <v>96</v>
      </c>
      <c r="T115" s="8" t="s">
        <v>17</v>
      </c>
      <c r="U115" s="8">
        <v>8</v>
      </c>
      <c r="W115" s="8" t="s">
        <v>196</v>
      </c>
      <c r="X115" s="15">
        <v>44577</v>
      </c>
      <c r="Y115" s="15">
        <v>45167</v>
      </c>
      <c r="Z115" s="17" t="s">
        <v>201</v>
      </c>
      <c r="AA115" s="118">
        <v>32694.45</v>
      </c>
      <c r="AB115" s="7">
        <v>35</v>
      </c>
      <c r="AC115" s="7">
        <v>6</v>
      </c>
      <c r="AD115" s="15">
        <v>44772</v>
      </c>
      <c r="AE115" s="50">
        <v>100</v>
      </c>
      <c r="AF115" s="50"/>
      <c r="AG115" s="8" t="s">
        <v>72</v>
      </c>
      <c r="AH115" s="16">
        <v>44778</v>
      </c>
      <c r="AI115" s="8">
        <v>41687912</v>
      </c>
      <c r="AJ115" s="7" t="s">
        <v>787</v>
      </c>
      <c r="AK115" s="7" t="s">
        <v>784</v>
      </c>
      <c r="AL115" s="20">
        <v>100</v>
      </c>
      <c r="AM115" s="20"/>
      <c r="AN115" s="20" t="s">
        <v>774</v>
      </c>
      <c r="AO115" s="20"/>
      <c r="AP115" s="20"/>
      <c r="AQ115" s="20"/>
      <c r="AR115" s="20"/>
      <c r="AS115" s="20"/>
      <c r="AT115" s="20"/>
      <c r="AU115" s="20"/>
      <c r="AV115" s="20"/>
      <c r="AW115" s="15">
        <v>44774</v>
      </c>
      <c r="AX115" s="7">
        <v>825</v>
      </c>
      <c r="BA115" s="20">
        <v>100</v>
      </c>
      <c r="BB115" s="20"/>
      <c r="BD115" s="7"/>
      <c r="CS115" s="9">
        <f t="shared" si="12"/>
        <v>100</v>
      </c>
      <c r="CT115" s="20">
        <f t="shared" si="13"/>
        <v>100</v>
      </c>
      <c r="CU115" s="20">
        <f t="shared" si="14"/>
        <v>0</v>
      </c>
      <c r="CV115" s="24">
        <f t="shared" si="15"/>
        <v>0</v>
      </c>
    </row>
    <row r="116" spans="1:100" x14ac:dyDescent="0.2">
      <c r="A116" s="7" t="s">
        <v>766</v>
      </c>
      <c r="B116" s="1">
        <v>11</v>
      </c>
      <c r="C116" s="2" t="s">
        <v>36</v>
      </c>
      <c r="D116" s="2" t="s">
        <v>37</v>
      </c>
      <c r="E116" s="1"/>
      <c r="F116" s="1"/>
      <c r="G116" s="1" t="s">
        <v>17</v>
      </c>
      <c r="H116" s="1">
        <v>5</v>
      </c>
      <c r="I116" s="18">
        <v>125.84</v>
      </c>
      <c r="J116" s="18">
        <v>37900</v>
      </c>
      <c r="K116" s="2">
        <v>0</v>
      </c>
      <c r="L116" s="2" t="s">
        <v>3</v>
      </c>
      <c r="M116" s="7" t="s">
        <v>0</v>
      </c>
      <c r="N116" s="7" t="s">
        <v>6</v>
      </c>
      <c r="O116" s="7" t="s">
        <v>765</v>
      </c>
      <c r="S116" s="7" t="s">
        <v>96</v>
      </c>
      <c r="T116" s="8" t="s">
        <v>17</v>
      </c>
      <c r="U116" s="8">
        <v>8</v>
      </c>
      <c r="W116" s="8" t="s">
        <v>196</v>
      </c>
      <c r="X116" s="15">
        <v>44577</v>
      </c>
      <c r="Y116" s="15">
        <v>45167</v>
      </c>
      <c r="Z116" s="17" t="s">
        <v>201</v>
      </c>
      <c r="AA116" s="118">
        <v>32694.45</v>
      </c>
      <c r="AB116" s="7">
        <v>35</v>
      </c>
      <c r="AC116" s="7">
        <v>7</v>
      </c>
      <c r="AD116" s="15">
        <v>44803</v>
      </c>
      <c r="AE116" s="50">
        <v>100</v>
      </c>
      <c r="AF116" s="50"/>
      <c r="AG116" s="8" t="s">
        <v>72</v>
      </c>
      <c r="AH116" s="16">
        <v>44805</v>
      </c>
      <c r="AI116" s="8">
        <v>41687912</v>
      </c>
      <c r="AJ116" s="7" t="s">
        <v>787</v>
      </c>
      <c r="AK116" s="7" t="s">
        <v>785</v>
      </c>
      <c r="AL116" s="20">
        <v>100</v>
      </c>
      <c r="AM116" s="20"/>
      <c r="AN116" s="20" t="s">
        <v>775</v>
      </c>
      <c r="AO116" s="20"/>
      <c r="AP116" s="20"/>
      <c r="AQ116" s="20"/>
      <c r="AR116" s="20"/>
      <c r="AS116" s="20"/>
      <c r="AT116" s="20"/>
      <c r="AU116" s="20"/>
      <c r="AV116" s="20"/>
      <c r="AW116" s="15">
        <v>44804</v>
      </c>
      <c r="AX116" s="7">
        <v>909</v>
      </c>
      <c r="BA116" s="20">
        <v>100</v>
      </c>
      <c r="BB116" s="20" t="s">
        <v>204</v>
      </c>
      <c r="BD116" s="7"/>
      <c r="CS116" s="9">
        <f t="shared" si="12"/>
        <v>100</v>
      </c>
      <c r="CT116" s="20">
        <f t="shared" si="13"/>
        <v>100</v>
      </c>
      <c r="CU116" s="20">
        <f t="shared" si="14"/>
        <v>0</v>
      </c>
      <c r="CV116" s="24">
        <f t="shared" si="15"/>
        <v>0</v>
      </c>
    </row>
    <row r="117" spans="1:100" x14ac:dyDescent="0.2">
      <c r="A117" s="7" t="s">
        <v>766</v>
      </c>
      <c r="B117" s="1">
        <v>11</v>
      </c>
      <c r="C117" s="2" t="s">
        <v>36</v>
      </c>
      <c r="D117" s="2" t="s">
        <v>37</v>
      </c>
      <c r="E117" s="1"/>
      <c r="F117" s="1"/>
      <c r="G117" s="1" t="s">
        <v>17</v>
      </c>
      <c r="H117" s="1">
        <v>5</v>
      </c>
      <c r="I117" s="18">
        <v>125.84</v>
      </c>
      <c r="J117" s="18">
        <v>37900</v>
      </c>
      <c r="K117" s="2">
        <v>0</v>
      </c>
      <c r="L117" s="2" t="s">
        <v>3</v>
      </c>
      <c r="M117" s="7" t="s">
        <v>0</v>
      </c>
      <c r="N117" s="7" t="s">
        <v>6</v>
      </c>
      <c r="O117" s="7" t="s">
        <v>765</v>
      </c>
      <c r="S117" s="7" t="s">
        <v>96</v>
      </c>
      <c r="T117" s="8" t="s">
        <v>17</v>
      </c>
      <c r="U117" s="8">
        <v>8</v>
      </c>
      <c r="W117" s="8" t="s">
        <v>196</v>
      </c>
      <c r="X117" s="15">
        <v>44577</v>
      </c>
      <c r="Y117" s="15">
        <v>45167</v>
      </c>
      <c r="Z117" s="17" t="s">
        <v>201</v>
      </c>
      <c r="AA117" s="118">
        <v>32694.45</v>
      </c>
      <c r="AB117" s="7">
        <v>35</v>
      </c>
      <c r="AC117" s="86" t="s">
        <v>806</v>
      </c>
      <c r="AD117" s="15">
        <v>44925</v>
      </c>
      <c r="AE117" s="50">
        <f>100*4</f>
        <v>400</v>
      </c>
      <c r="AF117" s="50"/>
      <c r="AG117" s="8" t="s">
        <v>72</v>
      </c>
      <c r="AH117" s="16">
        <v>44834</v>
      </c>
      <c r="AI117" s="8">
        <v>41687912</v>
      </c>
      <c r="AJ117" s="7" t="s">
        <v>787</v>
      </c>
      <c r="AK117" s="7" t="s">
        <v>786</v>
      </c>
      <c r="AL117" s="20">
        <v>400</v>
      </c>
      <c r="AM117" s="20"/>
      <c r="AN117" s="20" t="s">
        <v>776</v>
      </c>
      <c r="AO117" s="20"/>
      <c r="AP117" s="20"/>
      <c r="AQ117" s="20"/>
      <c r="AR117" s="20"/>
      <c r="AS117" s="20"/>
      <c r="AT117" s="20"/>
      <c r="AU117" s="20"/>
      <c r="AV117" s="20"/>
      <c r="AW117" s="15">
        <v>44833</v>
      </c>
      <c r="AX117" s="7">
        <v>966</v>
      </c>
      <c r="BA117" s="20">
        <v>400</v>
      </c>
      <c r="BB117" s="20"/>
      <c r="BD117" s="7"/>
      <c r="CS117" s="9">
        <f t="shared" si="12"/>
        <v>400</v>
      </c>
      <c r="CT117" s="20">
        <f t="shared" si="13"/>
        <v>400</v>
      </c>
      <c r="CU117" s="20">
        <f t="shared" si="14"/>
        <v>0</v>
      </c>
      <c r="CV117" s="24">
        <f t="shared" si="15"/>
        <v>0</v>
      </c>
    </row>
    <row r="118" spans="1:100" x14ac:dyDescent="0.2">
      <c r="A118" s="7" t="s">
        <v>766</v>
      </c>
      <c r="B118" s="1">
        <v>11</v>
      </c>
      <c r="C118" s="2" t="s">
        <v>36</v>
      </c>
      <c r="D118" s="2" t="s">
        <v>37</v>
      </c>
      <c r="E118" s="1"/>
      <c r="F118" s="1"/>
      <c r="G118" s="1" t="s">
        <v>17</v>
      </c>
      <c r="H118" s="1">
        <v>5</v>
      </c>
      <c r="I118" s="18">
        <v>125.84</v>
      </c>
      <c r="J118" s="18">
        <v>37900</v>
      </c>
      <c r="K118" s="2">
        <v>0</v>
      </c>
      <c r="L118" s="2" t="s">
        <v>3</v>
      </c>
      <c r="M118" s="7" t="s">
        <v>0</v>
      </c>
      <c r="N118" s="7" t="s">
        <v>6</v>
      </c>
      <c r="O118" s="7" t="s">
        <v>765</v>
      </c>
      <c r="S118" s="7" t="s">
        <v>96</v>
      </c>
      <c r="T118" s="8" t="s">
        <v>17</v>
      </c>
      <c r="U118" s="8">
        <v>8</v>
      </c>
      <c r="W118" s="8" t="s">
        <v>196</v>
      </c>
      <c r="X118" s="15">
        <v>44577</v>
      </c>
      <c r="Y118" s="15">
        <v>45167</v>
      </c>
      <c r="Z118" s="17" t="s">
        <v>201</v>
      </c>
      <c r="AA118" s="118">
        <v>32694.45</v>
      </c>
      <c r="AB118" s="7">
        <v>35</v>
      </c>
      <c r="AC118" s="86" t="s">
        <v>807</v>
      </c>
      <c r="AD118" s="15">
        <v>45381</v>
      </c>
      <c r="AE118" s="50">
        <f>100*3</f>
        <v>300</v>
      </c>
      <c r="AF118" s="50"/>
      <c r="AG118" s="8" t="s">
        <v>72</v>
      </c>
      <c r="AH118" s="16">
        <v>44970</v>
      </c>
      <c r="AI118" s="8">
        <v>41687912</v>
      </c>
      <c r="AJ118" s="7" t="s">
        <v>787</v>
      </c>
      <c r="AK118" s="7" t="s">
        <v>788</v>
      </c>
      <c r="AL118" s="20">
        <v>300</v>
      </c>
      <c r="AM118" s="20"/>
      <c r="AN118" s="20" t="s">
        <v>795</v>
      </c>
      <c r="AO118" s="20"/>
      <c r="AP118" s="20"/>
      <c r="AQ118" s="20"/>
      <c r="AR118" s="20"/>
      <c r="AS118" s="20"/>
      <c r="AT118" s="20"/>
      <c r="AU118" s="20"/>
      <c r="AV118" s="20"/>
      <c r="AW118" s="15">
        <v>44963</v>
      </c>
      <c r="AX118" s="7">
        <v>1204</v>
      </c>
      <c r="BA118" s="20">
        <v>300</v>
      </c>
      <c r="BB118" s="20"/>
      <c r="BD118" s="7"/>
      <c r="CS118" s="9">
        <f t="shared" si="12"/>
        <v>300</v>
      </c>
      <c r="CT118" s="20">
        <f t="shared" si="13"/>
        <v>300</v>
      </c>
      <c r="CU118" s="20">
        <f t="shared" si="14"/>
        <v>0</v>
      </c>
      <c r="CV118" s="24">
        <f t="shared" si="15"/>
        <v>0</v>
      </c>
    </row>
    <row r="119" spans="1:100" x14ac:dyDescent="0.2">
      <c r="A119" s="7" t="s">
        <v>766</v>
      </c>
      <c r="B119" s="1">
        <v>11</v>
      </c>
      <c r="C119" s="2" t="s">
        <v>36</v>
      </c>
      <c r="D119" s="2" t="s">
        <v>37</v>
      </c>
      <c r="E119" s="1"/>
      <c r="F119" s="1"/>
      <c r="G119" s="1" t="s">
        <v>17</v>
      </c>
      <c r="H119" s="1">
        <v>5</v>
      </c>
      <c r="I119" s="18">
        <v>125.84</v>
      </c>
      <c r="J119" s="18">
        <v>37900</v>
      </c>
      <c r="K119" s="2">
        <v>0</v>
      </c>
      <c r="L119" s="2" t="s">
        <v>3</v>
      </c>
      <c r="M119" s="7" t="s">
        <v>0</v>
      </c>
      <c r="N119" s="7" t="s">
        <v>6</v>
      </c>
      <c r="O119" s="7" t="s">
        <v>765</v>
      </c>
      <c r="S119" s="7" t="s">
        <v>96</v>
      </c>
      <c r="T119" s="8" t="s">
        <v>17</v>
      </c>
      <c r="U119" s="8">
        <v>8</v>
      </c>
      <c r="W119" s="8" t="s">
        <v>196</v>
      </c>
      <c r="X119" s="15">
        <v>44577</v>
      </c>
      <c r="Y119" s="15">
        <v>45167</v>
      </c>
      <c r="Z119" s="17" t="s">
        <v>201</v>
      </c>
      <c r="AA119" s="118">
        <v>32694.45</v>
      </c>
      <c r="AB119" s="7">
        <v>35</v>
      </c>
      <c r="AC119" s="86" t="s">
        <v>808</v>
      </c>
      <c r="AD119" s="15">
        <v>45107</v>
      </c>
      <c r="AE119" s="50">
        <f>100*3</f>
        <v>300</v>
      </c>
      <c r="AF119" s="50"/>
      <c r="AG119" s="8" t="s">
        <v>72</v>
      </c>
      <c r="AH119" s="16">
        <v>45042</v>
      </c>
      <c r="AI119" s="8">
        <v>41687912</v>
      </c>
      <c r="AJ119" s="7" t="s">
        <v>787</v>
      </c>
      <c r="AK119" s="7" t="s">
        <v>789</v>
      </c>
      <c r="AL119" s="20">
        <v>300</v>
      </c>
      <c r="AM119" s="20"/>
      <c r="AN119" s="20" t="s">
        <v>796</v>
      </c>
      <c r="AO119" s="20"/>
      <c r="AP119" s="20"/>
      <c r="AQ119" s="20"/>
      <c r="AR119" s="20"/>
      <c r="AS119" s="20"/>
      <c r="AT119" s="20"/>
      <c r="AU119" s="20"/>
      <c r="AV119" s="20"/>
      <c r="AW119" s="15">
        <v>45042</v>
      </c>
      <c r="AX119" s="7">
        <v>1445</v>
      </c>
      <c r="BA119" s="20">
        <v>300</v>
      </c>
      <c r="BB119" s="20"/>
      <c r="BD119" s="7"/>
      <c r="CS119" s="9">
        <f t="shared" si="12"/>
        <v>300</v>
      </c>
      <c r="CT119" s="20">
        <f t="shared" si="13"/>
        <v>300</v>
      </c>
      <c r="CU119" s="20">
        <f t="shared" si="14"/>
        <v>0</v>
      </c>
      <c r="CV119" s="24">
        <f t="shared" si="15"/>
        <v>0</v>
      </c>
    </row>
    <row r="120" spans="1:100" x14ac:dyDescent="0.2">
      <c r="A120" s="7" t="s">
        <v>766</v>
      </c>
      <c r="B120" s="1">
        <v>11</v>
      </c>
      <c r="C120" s="2" t="s">
        <v>36</v>
      </c>
      <c r="D120" s="2" t="s">
        <v>37</v>
      </c>
      <c r="E120" s="1"/>
      <c r="F120" s="1"/>
      <c r="G120" s="1" t="s">
        <v>17</v>
      </c>
      <c r="H120" s="1">
        <v>5</v>
      </c>
      <c r="I120" s="18">
        <v>125.84</v>
      </c>
      <c r="J120" s="18">
        <v>37900</v>
      </c>
      <c r="K120" s="2">
        <v>0</v>
      </c>
      <c r="L120" s="2" t="s">
        <v>3</v>
      </c>
      <c r="M120" s="7" t="s">
        <v>0</v>
      </c>
      <c r="N120" s="7" t="s">
        <v>6</v>
      </c>
      <c r="O120" s="7" t="s">
        <v>765</v>
      </c>
      <c r="S120" s="7" t="s">
        <v>96</v>
      </c>
      <c r="T120" s="8" t="s">
        <v>17</v>
      </c>
      <c r="U120" s="8">
        <v>8</v>
      </c>
      <c r="W120" s="8" t="s">
        <v>196</v>
      </c>
      <c r="X120" s="15">
        <v>44577</v>
      </c>
      <c r="Y120" s="15">
        <v>45167</v>
      </c>
      <c r="Z120" s="17" t="s">
        <v>201</v>
      </c>
      <c r="AA120" s="118">
        <v>32694.45</v>
      </c>
      <c r="AB120" s="7">
        <v>35</v>
      </c>
      <c r="AC120" s="7">
        <v>18</v>
      </c>
      <c r="AD120" s="15">
        <v>45137</v>
      </c>
      <c r="AE120" s="50">
        <v>100</v>
      </c>
      <c r="AF120" s="50"/>
      <c r="AG120" s="8" t="s">
        <v>72</v>
      </c>
      <c r="AH120" s="16">
        <v>45139</v>
      </c>
      <c r="AI120" s="8">
        <v>41687912</v>
      </c>
      <c r="AJ120" s="7" t="s">
        <v>787</v>
      </c>
      <c r="AK120" s="7" t="s">
        <v>793</v>
      </c>
      <c r="AL120" s="20">
        <v>100</v>
      </c>
      <c r="AM120" s="20"/>
      <c r="AN120" s="20" t="s">
        <v>797</v>
      </c>
      <c r="AO120" s="20"/>
      <c r="AP120" s="20"/>
      <c r="AQ120" s="20"/>
      <c r="AR120" s="20"/>
      <c r="AS120" s="20"/>
      <c r="AT120" s="20"/>
      <c r="AU120" s="20"/>
      <c r="AV120" s="20"/>
      <c r="AW120" s="15">
        <v>45132</v>
      </c>
      <c r="AX120" s="7">
        <v>1735</v>
      </c>
      <c r="BA120" s="20">
        <v>100</v>
      </c>
      <c r="BB120" s="20"/>
      <c r="BD120" s="7"/>
      <c r="CS120" s="9">
        <f t="shared" si="12"/>
        <v>100</v>
      </c>
      <c r="CT120" s="20">
        <f t="shared" si="13"/>
        <v>100</v>
      </c>
      <c r="CU120" s="20">
        <f t="shared" si="14"/>
        <v>0</v>
      </c>
      <c r="CV120" s="24">
        <f t="shared" si="15"/>
        <v>0</v>
      </c>
    </row>
    <row r="121" spans="1:100" x14ac:dyDescent="0.2">
      <c r="A121" s="7" t="s">
        <v>766</v>
      </c>
      <c r="B121" s="1">
        <v>11</v>
      </c>
      <c r="C121" s="2" t="s">
        <v>36</v>
      </c>
      <c r="D121" s="2" t="s">
        <v>37</v>
      </c>
      <c r="E121" s="1"/>
      <c r="F121" s="1"/>
      <c r="G121" s="1" t="s">
        <v>17</v>
      </c>
      <c r="H121" s="1">
        <v>5</v>
      </c>
      <c r="I121" s="18">
        <v>125.84</v>
      </c>
      <c r="J121" s="18">
        <v>37900</v>
      </c>
      <c r="K121" s="2">
        <v>0</v>
      </c>
      <c r="L121" s="2" t="s">
        <v>3</v>
      </c>
      <c r="M121" s="7" t="s">
        <v>0</v>
      </c>
      <c r="N121" s="7" t="s">
        <v>6</v>
      </c>
      <c r="O121" s="7" t="s">
        <v>765</v>
      </c>
      <c r="S121" s="7" t="s">
        <v>96</v>
      </c>
      <c r="T121" s="8" t="s">
        <v>17</v>
      </c>
      <c r="U121" s="8">
        <v>8</v>
      </c>
      <c r="W121" s="8" t="s">
        <v>196</v>
      </c>
      <c r="X121" s="15">
        <v>44577</v>
      </c>
      <c r="Y121" s="15">
        <v>45167</v>
      </c>
      <c r="Z121" s="17" t="s">
        <v>201</v>
      </c>
      <c r="AA121" s="118">
        <v>32694.45</v>
      </c>
      <c r="AB121" s="7">
        <v>35</v>
      </c>
      <c r="AC121" s="7">
        <v>19</v>
      </c>
      <c r="AD121" s="15">
        <v>45168</v>
      </c>
      <c r="AE121" s="50">
        <v>2000</v>
      </c>
      <c r="AF121" s="50"/>
      <c r="AG121" s="8" t="s">
        <v>72</v>
      </c>
      <c r="AH121" s="16">
        <v>45174</v>
      </c>
      <c r="AI121" s="8">
        <v>41687912</v>
      </c>
      <c r="AJ121" s="7" t="s">
        <v>787</v>
      </c>
      <c r="AK121" s="7" t="s">
        <v>790</v>
      </c>
      <c r="AL121" s="20">
        <v>2000</v>
      </c>
      <c r="AM121" s="20"/>
      <c r="AN121" s="20" t="s">
        <v>798</v>
      </c>
      <c r="AO121" s="20"/>
      <c r="AP121" s="20"/>
      <c r="AQ121" s="20"/>
      <c r="AR121" s="20"/>
      <c r="AS121" s="20"/>
      <c r="AT121" s="20"/>
      <c r="AU121" s="20"/>
      <c r="AV121" s="20"/>
      <c r="AW121" s="15">
        <v>45138</v>
      </c>
      <c r="AX121" s="7">
        <v>1757</v>
      </c>
      <c r="BA121" s="20">
        <v>2000</v>
      </c>
      <c r="BB121" s="20"/>
      <c r="BD121" s="7"/>
      <c r="CS121" s="9">
        <f t="shared" si="12"/>
        <v>2000</v>
      </c>
      <c r="CT121" s="20">
        <f t="shared" si="13"/>
        <v>2000</v>
      </c>
      <c r="CU121" s="20">
        <f t="shared" si="14"/>
        <v>0</v>
      </c>
      <c r="CV121" s="24">
        <f t="shared" si="15"/>
        <v>0</v>
      </c>
    </row>
    <row r="122" spans="1:100" x14ac:dyDescent="0.2">
      <c r="A122" s="7" t="s">
        <v>766</v>
      </c>
      <c r="B122" s="1">
        <v>11</v>
      </c>
      <c r="C122" s="2" t="s">
        <v>36</v>
      </c>
      <c r="D122" s="2" t="s">
        <v>37</v>
      </c>
      <c r="E122" s="1"/>
      <c r="F122" s="1"/>
      <c r="G122" s="1" t="s">
        <v>17</v>
      </c>
      <c r="H122" s="1">
        <v>5</v>
      </c>
      <c r="I122" s="18">
        <v>125.84</v>
      </c>
      <c r="J122" s="18">
        <v>37900</v>
      </c>
      <c r="K122" s="2">
        <v>0</v>
      </c>
      <c r="L122" s="2" t="s">
        <v>3</v>
      </c>
      <c r="M122" s="7" t="s">
        <v>0</v>
      </c>
      <c r="N122" s="7" t="s">
        <v>6</v>
      </c>
      <c r="O122" s="7" t="s">
        <v>765</v>
      </c>
      <c r="S122" s="7" t="s">
        <v>96</v>
      </c>
      <c r="T122" s="8" t="s">
        <v>17</v>
      </c>
      <c r="U122" s="8">
        <v>8</v>
      </c>
      <c r="W122" s="8" t="s">
        <v>196</v>
      </c>
      <c r="X122" s="15">
        <v>44577</v>
      </c>
      <c r="Y122" s="15">
        <v>45167</v>
      </c>
      <c r="Z122" s="17" t="s">
        <v>201</v>
      </c>
      <c r="AA122" s="118">
        <v>32694.45</v>
      </c>
      <c r="AB122" s="7">
        <v>35</v>
      </c>
      <c r="AC122" s="7">
        <v>20</v>
      </c>
      <c r="AD122" s="15">
        <v>45199</v>
      </c>
      <c r="AE122" s="50">
        <v>500</v>
      </c>
      <c r="AF122" s="50"/>
      <c r="AG122" s="8" t="s">
        <v>72</v>
      </c>
      <c r="AH122" s="16">
        <v>45197</v>
      </c>
      <c r="AI122" s="8">
        <v>41687912</v>
      </c>
      <c r="AJ122" s="7" t="s">
        <v>787</v>
      </c>
      <c r="AK122" s="7" t="s">
        <v>794</v>
      </c>
      <c r="AL122" s="20">
        <v>500</v>
      </c>
      <c r="AM122" s="20"/>
      <c r="AN122" s="20" t="s">
        <v>799</v>
      </c>
      <c r="AO122" s="20"/>
      <c r="AP122" s="20"/>
      <c r="AQ122" s="20"/>
      <c r="AR122" s="20"/>
      <c r="AS122" s="20"/>
      <c r="AT122" s="20"/>
      <c r="AU122" s="20"/>
      <c r="AV122" s="20"/>
      <c r="AW122" s="15">
        <v>45198</v>
      </c>
      <c r="AX122" s="7">
        <v>1924</v>
      </c>
      <c r="BA122" s="20">
        <v>500</v>
      </c>
      <c r="BB122" s="20"/>
      <c r="BD122" s="7"/>
      <c r="CS122" s="9">
        <f t="shared" si="12"/>
        <v>500</v>
      </c>
      <c r="CT122" s="20">
        <f t="shared" si="13"/>
        <v>500</v>
      </c>
      <c r="CU122" s="20">
        <f t="shared" si="14"/>
        <v>0</v>
      </c>
      <c r="CV122" s="24">
        <f t="shared" si="15"/>
        <v>0</v>
      </c>
    </row>
    <row r="123" spans="1:100" x14ac:dyDescent="0.2">
      <c r="A123" s="7" t="s">
        <v>766</v>
      </c>
      <c r="B123" s="1">
        <v>11</v>
      </c>
      <c r="C123" s="2" t="s">
        <v>36</v>
      </c>
      <c r="D123" s="2" t="s">
        <v>37</v>
      </c>
      <c r="E123" s="1"/>
      <c r="F123" s="1"/>
      <c r="G123" s="1" t="s">
        <v>17</v>
      </c>
      <c r="H123" s="1">
        <v>5</v>
      </c>
      <c r="I123" s="18">
        <v>125.84</v>
      </c>
      <c r="J123" s="18">
        <v>37900</v>
      </c>
      <c r="K123" s="2">
        <v>0</v>
      </c>
      <c r="L123" s="2" t="s">
        <v>3</v>
      </c>
      <c r="M123" s="7" t="s">
        <v>0</v>
      </c>
      <c r="N123" s="7" t="s">
        <v>6</v>
      </c>
      <c r="O123" s="7" t="s">
        <v>765</v>
      </c>
      <c r="S123" s="7" t="s">
        <v>96</v>
      </c>
      <c r="T123" s="8" t="s">
        <v>17</v>
      </c>
      <c r="U123" s="8">
        <v>8</v>
      </c>
      <c r="W123" s="8" t="s">
        <v>196</v>
      </c>
      <c r="X123" s="15">
        <v>44577</v>
      </c>
      <c r="Y123" s="15">
        <v>45167</v>
      </c>
      <c r="Z123" s="17" t="s">
        <v>201</v>
      </c>
      <c r="AA123" s="118">
        <v>32694.45</v>
      </c>
      <c r="AB123" s="7">
        <v>35</v>
      </c>
      <c r="AC123" s="7">
        <v>21</v>
      </c>
      <c r="AD123" s="15">
        <v>45229</v>
      </c>
      <c r="AE123" s="50">
        <v>500</v>
      </c>
      <c r="AF123" s="50"/>
      <c r="AG123" s="8" t="s">
        <v>72</v>
      </c>
      <c r="AH123" s="16">
        <v>45229</v>
      </c>
      <c r="AI123" s="8">
        <v>41687912</v>
      </c>
      <c r="AJ123" s="7" t="s">
        <v>787</v>
      </c>
      <c r="AK123" s="7" t="s">
        <v>791</v>
      </c>
      <c r="AL123" s="20">
        <v>500</v>
      </c>
      <c r="AM123" s="20"/>
      <c r="AN123" s="20" t="s">
        <v>800</v>
      </c>
      <c r="AO123" s="20"/>
      <c r="AP123" s="20"/>
      <c r="AQ123" s="20"/>
      <c r="AR123" s="20"/>
      <c r="AS123" s="20"/>
      <c r="AT123" s="20"/>
      <c r="AU123" s="20"/>
      <c r="AV123" s="20"/>
      <c r="AW123" s="15">
        <v>45229</v>
      </c>
      <c r="AX123" s="7">
        <v>2010</v>
      </c>
      <c r="BA123" s="20">
        <v>500</v>
      </c>
      <c r="BB123" s="20"/>
      <c r="BD123" s="7"/>
      <c r="CS123" s="9">
        <f t="shared" si="12"/>
        <v>500</v>
      </c>
      <c r="CT123" s="20">
        <f t="shared" si="13"/>
        <v>500</v>
      </c>
      <c r="CU123" s="20">
        <f t="shared" si="14"/>
        <v>0</v>
      </c>
      <c r="CV123" s="24">
        <f t="shared" si="15"/>
        <v>0</v>
      </c>
    </row>
    <row r="124" spans="1:100" x14ac:dyDescent="0.2">
      <c r="A124" s="7" t="s">
        <v>766</v>
      </c>
      <c r="B124" s="1">
        <v>11</v>
      </c>
      <c r="C124" s="2" t="s">
        <v>36</v>
      </c>
      <c r="D124" s="2" t="s">
        <v>37</v>
      </c>
      <c r="E124" s="1"/>
      <c r="F124" s="1"/>
      <c r="G124" s="1" t="s">
        <v>17</v>
      </c>
      <c r="H124" s="1">
        <v>5</v>
      </c>
      <c r="I124" s="18">
        <v>125.84</v>
      </c>
      <c r="J124" s="18">
        <v>37900</v>
      </c>
      <c r="K124" s="2">
        <v>0</v>
      </c>
      <c r="L124" s="2" t="s">
        <v>3</v>
      </c>
      <c r="M124" s="7" t="s">
        <v>0</v>
      </c>
      <c r="N124" s="7" t="s">
        <v>6</v>
      </c>
      <c r="O124" s="7" t="s">
        <v>765</v>
      </c>
      <c r="S124" s="7" t="s">
        <v>96</v>
      </c>
      <c r="T124" s="8" t="s">
        <v>17</v>
      </c>
      <c r="U124" s="8">
        <v>8</v>
      </c>
      <c r="W124" s="8" t="s">
        <v>196</v>
      </c>
      <c r="X124" s="15">
        <v>44577</v>
      </c>
      <c r="Y124" s="15">
        <v>45167</v>
      </c>
      <c r="Z124" s="17" t="s">
        <v>201</v>
      </c>
      <c r="AA124" s="118">
        <v>32694.45</v>
      </c>
      <c r="AB124" s="7">
        <v>35</v>
      </c>
      <c r="AC124" s="7">
        <v>22</v>
      </c>
      <c r="AD124" s="15">
        <v>45260</v>
      </c>
      <c r="AE124" s="50">
        <v>500</v>
      </c>
      <c r="AF124" s="50"/>
      <c r="AG124" s="8" t="s">
        <v>72</v>
      </c>
      <c r="AH124" s="16">
        <v>45262</v>
      </c>
      <c r="AI124" s="8">
        <v>41687912</v>
      </c>
      <c r="AJ124" s="7" t="s">
        <v>787</v>
      </c>
      <c r="AK124" s="7" t="s">
        <v>792</v>
      </c>
      <c r="AL124" s="20">
        <v>500</v>
      </c>
      <c r="AM124" s="20"/>
      <c r="AN124" s="20" t="s">
        <v>801</v>
      </c>
      <c r="AO124" s="20"/>
      <c r="AP124" s="20"/>
      <c r="AQ124" s="20"/>
      <c r="AR124" s="20"/>
      <c r="AS124" s="20"/>
      <c r="AT124" s="20"/>
      <c r="AU124" s="20"/>
      <c r="AV124" s="20"/>
      <c r="AW124" s="15">
        <v>45261</v>
      </c>
      <c r="AX124" s="7">
        <v>2087</v>
      </c>
      <c r="BA124" s="20">
        <v>500</v>
      </c>
      <c r="BB124" s="20"/>
      <c r="BD124" s="7"/>
      <c r="CS124" s="9">
        <f t="shared" si="12"/>
        <v>500</v>
      </c>
      <c r="CT124" s="20">
        <f t="shared" si="13"/>
        <v>500</v>
      </c>
      <c r="CU124" s="20">
        <f t="shared" si="14"/>
        <v>0</v>
      </c>
      <c r="CV124" s="24">
        <f t="shared" si="15"/>
        <v>0</v>
      </c>
    </row>
    <row r="125" spans="1:100" x14ac:dyDescent="0.2">
      <c r="A125" s="7" t="s">
        <v>766</v>
      </c>
      <c r="B125" s="1">
        <v>11</v>
      </c>
      <c r="C125" s="2" t="s">
        <v>36</v>
      </c>
      <c r="D125" s="2" t="s">
        <v>37</v>
      </c>
      <c r="E125" s="1"/>
      <c r="F125" s="1"/>
      <c r="G125" s="1" t="s">
        <v>17</v>
      </c>
      <c r="H125" s="1">
        <v>5</v>
      </c>
      <c r="I125" s="18">
        <v>125.84</v>
      </c>
      <c r="J125" s="18">
        <v>37900</v>
      </c>
      <c r="K125" s="2">
        <v>0</v>
      </c>
      <c r="L125" s="2" t="s">
        <v>3</v>
      </c>
      <c r="M125" s="7" t="s">
        <v>0</v>
      </c>
      <c r="N125" s="7" t="s">
        <v>6</v>
      </c>
      <c r="O125" s="7" t="s">
        <v>765</v>
      </c>
      <c r="S125" s="7" t="s">
        <v>96</v>
      </c>
      <c r="T125" s="8" t="s">
        <v>17</v>
      </c>
      <c r="U125" s="8">
        <v>8</v>
      </c>
      <c r="W125" s="8" t="s">
        <v>196</v>
      </c>
      <c r="X125" s="15">
        <v>44577</v>
      </c>
      <c r="Y125" s="15">
        <v>45167</v>
      </c>
      <c r="Z125" s="17" t="s">
        <v>201</v>
      </c>
      <c r="AA125" s="118">
        <v>32694.45</v>
      </c>
      <c r="AB125" s="7">
        <v>35</v>
      </c>
      <c r="AC125" s="7">
        <v>23</v>
      </c>
      <c r="AD125" s="15">
        <v>45290</v>
      </c>
      <c r="AE125" s="50">
        <v>500</v>
      </c>
      <c r="AF125" s="50"/>
      <c r="AG125" s="8" t="s">
        <v>72</v>
      </c>
      <c r="AH125" s="16">
        <v>45306</v>
      </c>
      <c r="AI125" s="8">
        <v>41687912</v>
      </c>
      <c r="AJ125" s="7" t="s">
        <v>787</v>
      </c>
      <c r="AK125" s="7" t="s">
        <v>802</v>
      </c>
      <c r="AL125" s="20">
        <v>499.19</v>
      </c>
      <c r="AM125" s="20"/>
      <c r="AN125" s="20" t="s">
        <v>804</v>
      </c>
      <c r="AO125" s="20"/>
      <c r="AP125" s="20"/>
      <c r="AQ125" s="20"/>
      <c r="AR125" s="20"/>
      <c r="AS125" s="20"/>
      <c r="AT125" s="20"/>
      <c r="AU125" s="20"/>
      <c r="AV125" s="20"/>
      <c r="AW125" s="15">
        <v>45307</v>
      </c>
      <c r="AX125" s="7">
        <v>2224</v>
      </c>
      <c r="BA125" s="20">
        <v>500</v>
      </c>
      <c r="BB125" s="20"/>
      <c r="BD125" s="7"/>
      <c r="CS125" s="9">
        <f t="shared" si="12"/>
        <v>499.19</v>
      </c>
      <c r="CT125" s="20">
        <f t="shared" si="13"/>
        <v>500</v>
      </c>
      <c r="CU125" s="20">
        <f t="shared" si="14"/>
        <v>-0.81000000000000227</v>
      </c>
      <c r="CV125" s="24">
        <f t="shared" si="15"/>
        <v>0.81000000000000227</v>
      </c>
    </row>
    <row r="126" spans="1:100" x14ac:dyDescent="0.2">
      <c r="A126" s="7" t="s">
        <v>766</v>
      </c>
      <c r="B126" s="1">
        <v>11</v>
      </c>
      <c r="C126" s="2" t="s">
        <v>36</v>
      </c>
      <c r="D126" s="2" t="s">
        <v>37</v>
      </c>
      <c r="E126" s="1"/>
      <c r="F126" s="1"/>
      <c r="G126" s="1" t="s">
        <v>17</v>
      </c>
      <c r="H126" s="1">
        <v>5</v>
      </c>
      <c r="I126" s="18">
        <v>125.84</v>
      </c>
      <c r="J126" s="18">
        <v>37900</v>
      </c>
      <c r="K126" s="2">
        <v>0</v>
      </c>
      <c r="L126" s="2" t="s">
        <v>3</v>
      </c>
      <c r="M126" s="7" t="s">
        <v>0</v>
      </c>
      <c r="N126" s="7" t="s">
        <v>6</v>
      </c>
      <c r="O126" s="7" t="s">
        <v>765</v>
      </c>
      <c r="S126" s="7" t="s">
        <v>96</v>
      </c>
      <c r="T126" s="8" t="s">
        <v>17</v>
      </c>
      <c r="U126" s="8">
        <v>8</v>
      </c>
      <c r="W126" s="8" t="s">
        <v>196</v>
      </c>
      <c r="X126" s="15">
        <v>44577</v>
      </c>
      <c r="Y126" s="15">
        <v>45167</v>
      </c>
      <c r="Z126" s="17" t="s">
        <v>201</v>
      </c>
      <c r="AA126" s="118">
        <v>32694.45</v>
      </c>
      <c r="AB126" s="7">
        <v>35</v>
      </c>
      <c r="AC126" s="7">
        <v>24</v>
      </c>
      <c r="AD126" s="15">
        <v>45321</v>
      </c>
      <c r="AE126" s="50">
        <v>500</v>
      </c>
      <c r="AF126" s="50"/>
      <c r="AG126" s="8" t="s">
        <v>72</v>
      </c>
      <c r="AH126" s="16">
        <v>45324</v>
      </c>
      <c r="AI126" s="8">
        <v>41687912</v>
      </c>
      <c r="AJ126" s="7" t="s">
        <v>787</v>
      </c>
      <c r="AK126" s="7" t="s">
        <v>803</v>
      </c>
      <c r="AL126" s="20">
        <v>500</v>
      </c>
      <c r="AM126" s="20"/>
      <c r="AN126" s="20" t="s">
        <v>805</v>
      </c>
      <c r="AO126" s="20"/>
      <c r="AP126" s="20"/>
      <c r="AQ126" s="20"/>
      <c r="AR126" s="20"/>
      <c r="AS126" s="20"/>
      <c r="AT126" s="20"/>
      <c r="AU126" s="20"/>
      <c r="AV126" s="20"/>
      <c r="AW126" s="15">
        <v>45325</v>
      </c>
      <c r="AX126" s="7">
        <v>2282</v>
      </c>
      <c r="BA126" s="20">
        <v>500</v>
      </c>
      <c r="BB126" s="20"/>
      <c r="BD126" s="7"/>
      <c r="CS126" s="9">
        <f t="shared" si="12"/>
        <v>500</v>
      </c>
      <c r="CT126" s="20">
        <f t="shared" si="13"/>
        <v>500</v>
      </c>
      <c r="CU126" s="20">
        <f t="shared" si="14"/>
        <v>0</v>
      </c>
      <c r="CV126" s="24">
        <f t="shared" si="15"/>
        <v>0</v>
      </c>
    </row>
    <row r="127" spans="1:100" x14ac:dyDescent="0.2">
      <c r="A127" s="7" t="s">
        <v>766</v>
      </c>
      <c r="B127" s="1">
        <v>11</v>
      </c>
      <c r="C127" s="2" t="s">
        <v>36</v>
      </c>
      <c r="D127" s="2" t="s">
        <v>37</v>
      </c>
      <c r="E127" s="1"/>
      <c r="F127" s="1"/>
      <c r="G127" s="1" t="s">
        <v>17</v>
      </c>
      <c r="H127" s="1">
        <v>5</v>
      </c>
      <c r="I127" s="18">
        <v>125.84</v>
      </c>
      <c r="J127" s="18">
        <v>37900</v>
      </c>
      <c r="K127" s="2">
        <v>0</v>
      </c>
      <c r="L127" s="2" t="s">
        <v>3</v>
      </c>
      <c r="M127" s="7" t="s">
        <v>0</v>
      </c>
      <c r="N127" s="7" t="s">
        <v>6</v>
      </c>
      <c r="O127" s="7" t="s">
        <v>765</v>
      </c>
      <c r="S127" s="7" t="s">
        <v>96</v>
      </c>
      <c r="T127" s="8" t="s">
        <v>17</v>
      </c>
      <c r="U127" s="8">
        <v>8</v>
      </c>
      <c r="W127" s="8" t="s">
        <v>196</v>
      </c>
      <c r="X127" s="15">
        <v>44577</v>
      </c>
      <c r="Y127" s="15">
        <v>45167</v>
      </c>
      <c r="Z127" s="17" t="s">
        <v>201</v>
      </c>
      <c r="AA127" s="118">
        <v>32694.45</v>
      </c>
      <c r="AB127" s="7">
        <v>35</v>
      </c>
      <c r="AC127" s="7">
        <v>25</v>
      </c>
      <c r="AD127" s="15">
        <v>45351</v>
      </c>
      <c r="AE127" s="50">
        <v>500</v>
      </c>
      <c r="AF127" s="5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7"/>
      <c r="BA127" s="20"/>
      <c r="BB127" s="20"/>
      <c r="BD127" s="7"/>
      <c r="CS127" s="9">
        <f t="shared" si="12"/>
        <v>0</v>
      </c>
      <c r="CT127" s="20">
        <f t="shared" si="13"/>
        <v>0</v>
      </c>
      <c r="CU127" s="20">
        <f t="shared" si="14"/>
        <v>0</v>
      </c>
      <c r="CV127" s="24">
        <f t="shared" si="15"/>
        <v>500</v>
      </c>
    </row>
    <row r="128" spans="1:100" x14ac:dyDescent="0.2">
      <c r="A128" s="7" t="s">
        <v>766</v>
      </c>
      <c r="B128" s="1">
        <v>11</v>
      </c>
      <c r="C128" s="2" t="s">
        <v>36</v>
      </c>
      <c r="D128" s="2" t="s">
        <v>37</v>
      </c>
      <c r="E128" s="1"/>
      <c r="F128" s="1"/>
      <c r="G128" s="1" t="s">
        <v>17</v>
      </c>
      <c r="H128" s="1">
        <v>5</v>
      </c>
      <c r="I128" s="18">
        <v>125.84</v>
      </c>
      <c r="J128" s="18">
        <v>37900</v>
      </c>
      <c r="K128" s="2">
        <v>0</v>
      </c>
      <c r="L128" s="2" t="s">
        <v>3</v>
      </c>
      <c r="M128" s="7" t="s">
        <v>0</v>
      </c>
      <c r="N128" s="7" t="s">
        <v>6</v>
      </c>
      <c r="O128" s="7" t="s">
        <v>765</v>
      </c>
      <c r="S128" s="7" t="s">
        <v>96</v>
      </c>
      <c r="T128" s="8" t="s">
        <v>17</v>
      </c>
      <c r="U128" s="8">
        <v>8</v>
      </c>
      <c r="W128" s="8" t="s">
        <v>196</v>
      </c>
      <c r="X128" s="15">
        <v>44577</v>
      </c>
      <c r="Y128" s="15">
        <v>45167</v>
      </c>
      <c r="Z128" s="17" t="s">
        <v>201</v>
      </c>
      <c r="AA128" s="118">
        <v>32694.45</v>
      </c>
      <c r="AB128" s="7">
        <v>35</v>
      </c>
      <c r="AC128" s="7">
        <v>26</v>
      </c>
      <c r="AD128" s="15">
        <v>45381</v>
      </c>
      <c r="AE128" s="50">
        <v>500</v>
      </c>
      <c r="AF128" s="5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7"/>
      <c r="BA128" s="20"/>
      <c r="BB128" s="20"/>
      <c r="BD128" s="7"/>
      <c r="CS128" s="9">
        <f t="shared" si="12"/>
        <v>0</v>
      </c>
      <c r="CT128" s="20">
        <f t="shared" si="13"/>
        <v>0</v>
      </c>
      <c r="CU128" s="20">
        <f t="shared" si="14"/>
        <v>0</v>
      </c>
      <c r="CV128" s="24">
        <f t="shared" si="15"/>
        <v>500</v>
      </c>
    </row>
    <row r="129" spans="1:100" x14ac:dyDescent="0.2">
      <c r="A129" s="7" t="s">
        <v>766</v>
      </c>
      <c r="B129" s="1">
        <v>11</v>
      </c>
      <c r="C129" s="2" t="s">
        <v>36</v>
      </c>
      <c r="D129" s="2" t="s">
        <v>37</v>
      </c>
      <c r="E129" s="1"/>
      <c r="F129" s="1"/>
      <c r="G129" s="1" t="s">
        <v>17</v>
      </c>
      <c r="H129" s="1">
        <v>5</v>
      </c>
      <c r="I129" s="18">
        <v>125.84</v>
      </c>
      <c r="J129" s="18">
        <v>37900</v>
      </c>
      <c r="K129" s="2">
        <v>0</v>
      </c>
      <c r="L129" s="2" t="s">
        <v>3</v>
      </c>
      <c r="M129" s="7" t="s">
        <v>0</v>
      </c>
      <c r="N129" s="7" t="s">
        <v>6</v>
      </c>
      <c r="O129" s="7" t="s">
        <v>765</v>
      </c>
      <c r="S129" s="7" t="s">
        <v>96</v>
      </c>
      <c r="T129" s="8" t="s">
        <v>17</v>
      </c>
      <c r="U129" s="8">
        <v>8</v>
      </c>
      <c r="W129" s="8" t="s">
        <v>196</v>
      </c>
      <c r="X129" s="15">
        <v>44577</v>
      </c>
      <c r="Y129" s="15">
        <v>45167</v>
      </c>
      <c r="Z129" s="17" t="s">
        <v>201</v>
      </c>
      <c r="AA129" s="118">
        <v>32694.45</v>
      </c>
      <c r="AB129" s="7">
        <v>35</v>
      </c>
      <c r="AC129" s="7">
        <v>27</v>
      </c>
      <c r="AD129" s="15">
        <v>45412</v>
      </c>
      <c r="AE129" s="50">
        <v>500</v>
      </c>
      <c r="AF129" s="5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7"/>
      <c r="BA129" s="20"/>
      <c r="BB129" s="20"/>
      <c r="BD129" s="7"/>
      <c r="CS129" s="9">
        <f t="shared" si="12"/>
        <v>0</v>
      </c>
      <c r="CT129" s="20">
        <f t="shared" si="13"/>
        <v>0</v>
      </c>
      <c r="CU129" s="20">
        <f t="shared" si="14"/>
        <v>0</v>
      </c>
      <c r="CV129" s="24">
        <f t="shared" si="15"/>
        <v>500</v>
      </c>
    </row>
    <row r="130" spans="1:100" x14ac:dyDescent="0.2">
      <c r="A130" s="7" t="s">
        <v>766</v>
      </c>
      <c r="B130" s="1">
        <v>11</v>
      </c>
      <c r="C130" s="2" t="s">
        <v>36</v>
      </c>
      <c r="D130" s="2" t="s">
        <v>37</v>
      </c>
      <c r="E130" s="1"/>
      <c r="F130" s="1"/>
      <c r="G130" s="1" t="s">
        <v>17</v>
      </c>
      <c r="H130" s="1">
        <v>5</v>
      </c>
      <c r="I130" s="18">
        <v>125.84</v>
      </c>
      <c r="J130" s="18">
        <v>37900</v>
      </c>
      <c r="K130" s="2">
        <v>0</v>
      </c>
      <c r="L130" s="2" t="s">
        <v>3</v>
      </c>
      <c r="M130" s="7" t="s">
        <v>0</v>
      </c>
      <c r="N130" s="7" t="s">
        <v>6</v>
      </c>
      <c r="O130" s="7" t="s">
        <v>765</v>
      </c>
      <c r="S130" s="7" t="s">
        <v>96</v>
      </c>
      <c r="T130" s="8" t="s">
        <v>17</v>
      </c>
      <c r="U130" s="8">
        <v>8</v>
      </c>
      <c r="W130" s="8" t="s">
        <v>196</v>
      </c>
      <c r="X130" s="15">
        <v>44577</v>
      </c>
      <c r="Y130" s="15">
        <v>45167</v>
      </c>
      <c r="Z130" s="17" t="s">
        <v>201</v>
      </c>
      <c r="AA130" s="118">
        <v>32694.45</v>
      </c>
      <c r="AB130" s="7">
        <v>35</v>
      </c>
      <c r="AC130" s="7">
        <v>28</v>
      </c>
      <c r="AD130" s="15">
        <v>45442</v>
      </c>
      <c r="AE130" s="50">
        <v>500</v>
      </c>
      <c r="AF130" s="5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7"/>
      <c r="BA130" s="20"/>
      <c r="BB130" s="20"/>
      <c r="BD130" s="7"/>
      <c r="CS130" s="9">
        <f t="shared" si="12"/>
        <v>0</v>
      </c>
      <c r="CT130" s="20">
        <f t="shared" si="13"/>
        <v>0</v>
      </c>
      <c r="CU130" s="20">
        <f t="shared" si="14"/>
        <v>0</v>
      </c>
      <c r="CV130" s="24">
        <f t="shared" si="15"/>
        <v>500</v>
      </c>
    </row>
    <row r="131" spans="1:100" x14ac:dyDescent="0.2">
      <c r="A131" s="7" t="s">
        <v>766</v>
      </c>
      <c r="B131" s="1">
        <v>11</v>
      </c>
      <c r="C131" s="2" t="s">
        <v>36</v>
      </c>
      <c r="D131" s="2" t="s">
        <v>37</v>
      </c>
      <c r="E131" s="1"/>
      <c r="F131" s="1"/>
      <c r="G131" s="1" t="s">
        <v>17</v>
      </c>
      <c r="H131" s="1">
        <v>5</v>
      </c>
      <c r="I131" s="18">
        <v>125.84</v>
      </c>
      <c r="J131" s="18">
        <v>37900</v>
      </c>
      <c r="K131" s="2">
        <v>0</v>
      </c>
      <c r="L131" s="2" t="s">
        <v>3</v>
      </c>
      <c r="M131" s="7" t="s">
        <v>0</v>
      </c>
      <c r="N131" s="7" t="s">
        <v>6</v>
      </c>
      <c r="O131" s="7" t="s">
        <v>765</v>
      </c>
      <c r="S131" s="7" t="s">
        <v>96</v>
      </c>
      <c r="T131" s="8" t="s">
        <v>17</v>
      </c>
      <c r="U131" s="8">
        <v>8</v>
      </c>
      <c r="W131" s="8" t="s">
        <v>196</v>
      </c>
      <c r="X131" s="15">
        <v>44577</v>
      </c>
      <c r="Y131" s="15">
        <v>45167</v>
      </c>
      <c r="Z131" s="17" t="s">
        <v>201</v>
      </c>
      <c r="AA131" s="118">
        <v>32694.45</v>
      </c>
      <c r="AB131" s="7">
        <v>35</v>
      </c>
      <c r="AC131" s="7">
        <v>29</v>
      </c>
      <c r="AD131" s="15">
        <v>45473</v>
      </c>
      <c r="AE131" s="50">
        <v>500</v>
      </c>
      <c r="AF131" s="5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7"/>
      <c r="BA131" s="20"/>
      <c r="BB131" s="20"/>
      <c r="BD131" s="7"/>
      <c r="CS131" s="9">
        <f t="shared" si="12"/>
        <v>0</v>
      </c>
      <c r="CT131" s="20">
        <f t="shared" si="13"/>
        <v>0</v>
      </c>
      <c r="CU131" s="20">
        <f t="shared" si="14"/>
        <v>0</v>
      </c>
      <c r="CV131" s="24">
        <f t="shared" si="15"/>
        <v>500</v>
      </c>
    </row>
    <row r="132" spans="1:100" x14ac:dyDescent="0.2">
      <c r="A132" s="7" t="s">
        <v>766</v>
      </c>
      <c r="B132" s="1">
        <v>11</v>
      </c>
      <c r="C132" s="2" t="s">
        <v>36</v>
      </c>
      <c r="D132" s="2" t="s">
        <v>37</v>
      </c>
      <c r="E132" s="1"/>
      <c r="F132" s="1"/>
      <c r="G132" s="1" t="s">
        <v>17</v>
      </c>
      <c r="H132" s="1">
        <v>5</v>
      </c>
      <c r="I132" s="18">
        <v>125.84</v>
      </c>
      <c r="J132" s="18">
        <v>37900</v>
      </c>
      <c r="K132" s="2">
        <v>0</v>
      </c>
      <c r="L132" s="2" t="s">
        <v>3</v>
      </c>
      <c r="M132" s="7" t="s">
        <v>0</v>
      </c>
      <c r="N132" s="7" t="s">
        <v>6</v>
      </c>
      <c r="O132" s="7" t="s">
        <v>765</v>
      </c>
      <c r="S132" s="7" t="s">
        <v>96</v>
      </c>
      <c r="T132" s="8" t="s">
        <v>17</v>
      </c>
      <c r="U132" s="8">
        <v>8</v>
      </c>
      <c r="W132" s="8" t="s">
        <v>196</v>
      </c>
      <c r="X132" s="15">
        <v>44577</v>
      </c>
      <c r="Y132" s="15">
        <v>45167</v>
      </c>
      <c r="Z132" s="17" t="s">
        <v>201</v>
      </c>
      <c r="AA132" s="118">
        <v>32694.45</v>
      </c>
      <c r="AB132" s="7">
        <v>35</v>
      </c>
      <c r="AC132" s="7">
        <v>30</v>
      </c>
      <c r="AD132" s="15">
        <v>45503</v>
      </c>
      <c r="AE132" s="50">
        <v>500</v>
      </c>
      <c r="AF132" s="5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7"/>
      <c r="BA132" s="20"/>
      <c r="BB132" s="20"/>
      <c r="BD132" s="7"/>
      <c r="CS132" s="9">
        <f t="shared" si="12"/>
        <v>0</v>
      </c>
      <c r="CT132" s="20">
        <f t="shared" si="13"/>
        <v>0</v>
      </c>
      <c r="CU132" s="20">
        <f t="shared" si="14"/>
        <v>0</v>
      </c>
      <c r="CV132" s="24">
        <f t="shared" si="15"/>
        <v>500</v>
      </c>
    </row>
    <row r="133" spans="1:100" x14ac:dyDescent="0.2">
      <c r="A133" s="7" t="s">
        <v>766</v>
      </c>
      <c r="B133" s="1">
        <v>11</v>
      </c>
      <c r="C133" s="2" t="s">
        <v>36</v>
      </c>
      <c r="D133" s="2" t="s">
        <v>37</v>
      </c>
      <c r="E133" s="1"/>
      <c r="F133" s="1"/>
      <c r="G133" s="1" t="s">
        <v>17</v>
      </c>
      <c r="H133" s="1">
        <v>5</v>
      </c>
      <c r="I133" s="18">
        <v>125.84</v>
      </c>
      <c r="J133" s="18">
        <v>37900</v>
      </c>
      <c r="K133" s="2">
        <v>0</v>
      </c>
      <c r="L133" s="2" t="s">
        <v>3</v>
      </c>
      <c r="M133" s="7" t="s">
        <v>0</v>
      </c>
      <c r="N133" s="7" t="s">
        <v>6</v>
      </c>
      <c r="O133" s="7" t="s">
        <v>765</v>
      </c>
      <c r="S133" s="7" t="s">
        <v>96</v>
      </c>
      <c r="T133" s="8" t="s">
        <v>17</v>
      </c>
      <c r="U133" s="8">
        <v>8</v>
      </c>
      <c r="W133" s="8" t="s">
        <v>196</v>
      </c>
      <c r="X133" s="15">
        <v>44577</v>
      </c>
      <c r="Y133" s="15">
        <v>45167</v>
      </c>
      <c r="Z133" s="17" t="s">
        <v>201</v>
      </c>
      <c r="AA133" s="118">
        <v>32694.45</v>
      </c>
      <c r="AB133" s="7">
        <v>35</v>
      </c>
      <c r="AC133" s="7">
        <v>31</v>
      </c>
      <c r="AD133" s="15">
        <v>45534</v>
      </c>
      <c r="AE133" s="50">
        <v>500</v>
      </c>
      <c r="AF133" s="5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7"/>
      <c r="BA133" s="20"/>
      <c r="BB133" s="20"/>
      <c r="BD133" s="7"/>
      <c r="CS133" s="9">
        <f t="shared" si="12"/>
        <v>0</v>
      </c>
      <c r="CT133" s="20">
        <f t="shared" si="13"/>
        <v>0</v>
      </c>
      <c r="CU133" s="20">
        <f t="shared" si="14"/>
        <v>0</v>
      </c>
      <c r="CV133" s="24">
        <f t="shared" si="15"/>
        <v>500</v>
      </c>
    </row>
    <row r="134" spans="1:100" x14ac:dyDescent="0.2">
      <c r="A134" s="7" t="s">
        <v>766</v>
      </c>
      <c r="B134" s="1">
        <v>11</v>
      </c>
      <c r="C134" s="2" t="s">
        <v>36</v>
      </c>
      <c r="D134" s="2" t="s">
        <v>37</v>
      </c>
      <c r="E134" s="1"/>
      <c r="F134" s="1"/>
      <c r="G134" s="1" t="s">
        <v>17</v>
      </c>
      <c r="H134" s="1">
        <v>5</v>
      </c>
      <c r="I134" s="18">
        <v>125.84</v>
      </c>
      <c r="J134" s="18">
        <v>37900</v>
      </c>
      <c r="K134" s="2">
        <v>0</v>
      </c>
      <c r="L134" s="2" t="s">
        <v>3</v>
      </c>
      <c r="M134" s="7" t="s">
        <v>0</v>
      </c>
      <c r="N134" s="7" t="s">
        <v>6</v>
      </c>
      <c r="O134" s="7" t="s">
        <v>765</v>
      </c>
      <c r="S134" s="7" t="s">
        <v>96</v>
      </c>
      <c r="T134" s="8" t="s">
        <v>17</v>
      </c>
      <c r="U134" s="8">
        <v>8</v>
      </c>
      <c r="W134" s="8" t="s">
        <v>196</v>
      </c>
      <c r="X134" s="15">
        <v>44577</v>
      </c>
      <c r="Y134" s="15">
        <v>45167</v>
      </c>
      <c r="Z134" s="17" t="s">
        <v>201</v>
      </c>
      <c r="AA134" s="118">
        <v>32694.45</v>
      </c>
      <c r="AB134" s="7">
        <v>35</v>
      </c>
      <c r="AC134" s="7">
        <v>32</v>
      </c>
      <c r="AD134" s="15">
        <v>45565</v>
      </c>
      <c r="AE134" s="50">
        <v>500</v>
      </c>
      <c r="AF134" s="5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7"/>
      <c r="BA134" s="20"/>
      <c r="BB134" s="20"/>
      <c r="BD134" s="7"/>
      <c r="CS134" s="9">
        <f t="shared" si="12"/>
        <v>0</v>
      </c>
      <c r="CT134" s="20">
        <f t="shared" si="13"/>
        <v>0</v>
      </c>
      <c r="CU134" s="20">
        <f t="shared" si="14"/>
        <v>0</v>
      </c>
      <c r="CV134" s="24">
        <f t="shared" si="15"/>
        <v>500</v>
      </c>
    </row>
    <row r="135" spans="1:100" x14ac:dyDescent="0.2">
      <c r="A135" s="7" t="s">
        <v>766</v>
      </c>
      <c r="B135" s="1">
        <v>11</v>
      </c>
      <c r="C135" s="2" t="s">
        <v>36</v>
      </c>
      <c r="D135" s="2" t="s">
        <v>37</v>
      </c>
      <c r="E135" s="1"/>
      <c r="F135" s="1"/>
      <c r="G135" s="1" t="s">
        <v>17</v>
      </c>
      <c r="H135" s="1">
        <v>5</v>
      </c>
      <c r="I135" s="18">
        <v>125.84</v>
      </c>
      <c r="J135" s="18">
        <v>37900</v>
      </c>
      <c r="K135" s="2">
        <v>0</v>
      </c>
      <c r="L135" s="2" t="s">
        <v>3</v>
      </c>
      <c r="M135" s="7" t="s">
        <v>0</v>
      </c>
      <c r="N135" s="7" t="s">
        <v>6</v>
      </c>
      <c r="O135" s="7" t="s">
        <v>765</v>
      </c>
      <c r="S135" s="7" t="s">
        <v>96</v>
      </c>
      <c r="T135" s="8" t="s">
        <v>17</v>
      </c>
      <c r="U135" s="8">
        <v>8</v>
      </c>
      <c r="W135" s="8" t="s">
        <v>196</v>
      </c>
      <c r="X135" s="15">
        <v>44577</v>
      </c>
      <c r="Y135" s="15">
        <v>45167</v>
      </c>
      <c r="Z135" s="17" t="s">
        <v>201</v>
      </c>
      <c r="AA135" s="118">
        <v>32694.45</v>
      </c>
      <c r="AB135" s="7">
        <v>35</v>
      </c>
      <c r="AC135" s="7">
        <v>33</v>
      </c>
      <c r="AD135" s="15">
        <v>45595</v>
      </c>
      <c r="AE135" s="50">
        <v>500</v>
      </c>
      <c r="AF135" s="5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7"/>
      <c r="BA135" s="20"/>
      <c r="BB135" s="20"/>
      <c r="BD135" s="7"/>
      <c r="CS135" s="9">
        <f t="shared" si="12"/>
        <v>0</v>
      </c>
      <c r="CT135" s="20">
        <f t="shared" si="13"/>
        <v>0</v>
      </c>
      <c r="CU135" s="20">
        <f t="shared" si="14"/>
        <v>0</v>
      </c>
      <c r="CV135" s="24">
        <f t="shared" si="15"/>
        <v>500</v>
      </c>
    </row>
    <row r="136" spans="1:100" x14ac:dyDescent="0.2">
      <c r="A136" s="7" t="s">
        <v>766</v>
      </c>
      <c r="B136" s="1">
        <v>11</v>
      </c>
      <c r="C136" s="2" t="s">
        <v>36</v>
      </c>
      <c r="D136" s="2" t="s">
        <v>37</v>
      </c>
      <c r="E136" s="1"/>
      <c r="F136" s="1"/>
      <c r="G136" s="1" t="s">
        <v>17</v>
      </c>
      <c r="H136" s="1">
        <v>5</v>
      </c>
      <c r="I136" s="18">
        <v>125.84</v>
      </c>
      <c r="J136" s="18">
        <v>37900</v>
      </c>
      <c r="K136" s="2">
        <v>0</v>
      </c>
      <c r="L136" s="2" t="s">
        <v>3</v>
      </c>
      <c r="M136" s="7" t="s">
        <v>0</v>
      </c>
      <c r="N136" s="7" t="s">
        <v>6</v>
      </c>
      <c r="O136" s="7" t="s">
        <v>765</v>
      </c>
      <c r="S136" s="7" t="s">
        <v>96</v>
      </c>
      <c r="T136" s="8" t="s">
        <v>17</v>
      </c>
      <c r="U136" s="8">
        <v>8</v>
      </c>
      <c r="W136" s="8" t="s">
        <v>196</v>
      </c>
      <c r="X136" s="15">
        <v>44577</v>
      </c>
      <c r="Y136" s="15">
        <v>45167</v>
      </c>
      <c r="Z136" s="17" t="s">
        <v>201</v>
      </c>
      <c r="AA136" s="118">
        <v>32694.45</v>
      </c>
      <c r="AB136" s="7">
        <v>35</v>
      </c>
      <c r="AC136" s="7">
        <v>34</v>
      </c>
      <c r="AD136" s="15">
        <v>45626</v>
      </c>
      <c r="AE136" s="50">
        <v>500</v>
      </c>
      <c r="AF136" s="5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7"/>
      <c r="BA136" s="20"/>
      <c r="BB136" s="20"/>
      <c r="BD136" s="7"/>
      <c r="CS136" s="9">
        <f t="shared" si="12"/>
        <v>0</v>
      </c>
      <c r="CT136" s="20">
        <f t="shared" si="13"/>
        <v>0</v>
      </c>
      <c r="CU136" s="20">
        <f t="shared" si="14"/>
        <v>0</v>
      </c>
      <c r="CV136" s="24">
        <f t="shared" si="15"/>
        <v>500</v>
      </c>
    </row>
    <row r="137" spans="1:100" x14ac:dyDescent="0.2">
      <c r="A137" s="7" t="s">
        <v>766</v>
      </c>
      <c r="B137" s="1">
        <v>11</v>
      </c>
      <c r="C137" s="2" t="s">
        <v>36</v>
      </c>
      <c r="D137" s="2" t="s">
        <v>37</v>
      </c>
      <c r="E137" s="1"/>
      <c r="F137" s="1"/>
      <c r="G137" s="1" t="s">
        <v>17</v>
      </c>
      <c r="H137" s="1">
        <v>5</v>
      </c>
      <c r="I137" s="18">
        <v>125.84</v>
      </c>
      <c r="J137" s="18">
        <v>37900</v>
      </c>
      <c r="K137" s="2">
        <v>0</v>
      </c>
      <c r="L137" s="2" t="s">
        <v>3</v>
      </c>
      <c r="M137" s="7" t="s">
        <v>0</v>
      </c>
      <c r="N137" s="7" t="s">
        <v>6</v>
      </c>
      <c r="O137" s="7" t="s">
        <v>765</v>
      </c>
      <c r="S137" s="7" t="s">
        <v>96</v>
      </c>
      <c r="T137" s="8" t="s">
        <v>17</v>
      </c>
      <c r="U137" s="8">
        <v>8</v>
      </c>
      <c r="W137" s="8" t="s">
        <v>196</v>
      </c>
      <c r="X137" s="15">
        <v>44577</v>
      </c>
      <c r="Y137" s="15">
        <v>45167</v>
      </c>
      <c r="Z137" s="17" t="s">
        <v>201</v>
      </c>
      <c r="AA137" s="118">
        <v>32694.45</v>
      </c>
      <c r="AB137" s="7">
        <v>35</v>
      </c>
      <c r="AC137" s="7">
        <v>35</v>
      </c>
      <c r="AD137" s="15">
        <v>45656</v>
      </c>
      <c r="AE137" s="50">
        <v>17394.45</v>
      </c>
      <c r="AF137" s="5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7"/>
      <c r="BA137" s="20"/>
      <c r="BB137" s="20"/>
      <c r="BD137" s="7"/>
      <c r="CS137" s="9">
        <f t="shared" si="12"/>
        <v>0</v>
      </c>
      <c r="CT137" s="20">
        <f t="shared" si="13"/>
        <v>0</v>
      </c>
      <c r="CU137" s="20">
        <f t="shared" si="14"/>
        <v>0</v>
      </c>
      <c r="CV137" s="24">
        <f t="shared" si="15"/>
        <v>17394.45</v>
      </c>
    </row>
    <row r="138" spans="1:100" x14ac:dyDescent="0.2">
      <c r="A138" s="7" t="s">
        <v>766</v>
      </c>
      <c r="B138" s="1">
        <v>11</v>
      </c>
      <c r="C138" s="2" t="s">
        <v>36</v>
      </c>
      <c r="D138" s="2" t="s">
        <v>37</v>
      </c>
      <c r="E138" s="1"/>
      <c r="F138" s="1"/>
      <c r="G138" s="1" t="s">
        <v>17</v>
      </c>
      <c r="H138" s="1">
        <v>5</v>
      </c>
      <c r="I138" s="18">
        <v>125.84</v>
      </c>
      <c r="J138" s="18">
        <v>37900</v>
      </c>
      <c r="K138" s="2">
        <v>0</v>
      </c>
      <c r="L138" s="2" t="s">
        <v>3</v>
      </c>
      <c r="M138" s="7" t="s">
        <v>0</v>
      </c>
      <c r="N138" s="7" t="s">
        <v>6</v>
      </c>
      <c r="O138" s="7" t="s">
        <v>765</v>
      </c>
      <c r="S138" s="7" t="s">
        <v>809</v>
      </c>
      <c r="T138" s="8" t="s">
        <v>17</v>
      </c>
      <c r="U138" s="8">
        <v>8</v>
      </c>
      <c r="W138" s="8" t="s">
        <v>196</v>
      </c>
      <c r="X138" s="15">
        <v>44577</v>
      </c>
      <c r="Y138" s="15">
        <v>44580</v>
      </c>
      <c r="Z138" s="17" t="s">
        <v>201</v>
      </c>
      <c r="AA138" s="118">
        <v>6000</v>
      </c>
      <c r="AB138" s="7">
        <v>24</v>
      </c>
      <c r="AC138" s="7">
        <v>1</v>
      </c>
      <c r="AD138" s="15">
        <v>44985</v>
      </c>
      <c r="AE138" s="20">
        <v>250</v>
      </c>
      <c r="AF138" s="5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7"/>
      <c r="BA138" s="20"/>
      <c r="BB138" s="20"/>
      <c r="BD138" s="7"/>
      <c r="CS138" s="9">
        <f t="shared" si="12"/>
        <v>0</v>
      </c>
      <c r="CT138" s="20">
        <f t="shared" si="13"/>
        <v>0</v>
      </c>
      <c r="CU138" s="20">
        <f t="shared" si="14"/>
        <v>0</v>
      </c>
      <c r="CV138" s="24">
        <f t="shared" si="15"/>
        <v>250</v>
      </c>
    </row>
    <row r="139" spans="1:100" x14ac:dyDescent="0.2">
      <c r="A139" s="7" t="s">
        <v>766</v>
      </c>
      <c r="B139" s="1">
        <v>11</v>
      </c>
      <c r="C139" s="2" t="s">
        <v>36</v>
      </c>
      <c r="D139" s="2" t="s">
        <v>37</v>
      </c>
      <c r="E139" s="1"/>
      <c r="F139" s="1"/>
      <c r="G139" s="1" t="s">
        <v>17</v>
      </c>
      <c r="H139" s="1">
        <v>5</v>
      </c>
      <c r="I139" s="18">
        <v>125.84</v>
      </c>
      <c r="J139" s="18">
        <v>37900</v>
      </c>
      <c r="K139" s="2">
        <v>0</v>
      </c>
      <c r="L139" s="2" t="s">
        <v>3</v>
      </c>
      <c r="M139" s="7" t="s">
        <v>0</v>
      </c>
      <c r="N139" s="7" t="s">
        <v>6</v>
      </c>
      <c r="O139" s="7" t="s">
        <v>765</v>
      </c>
      <c r="S139" s="7" t="s">
        <v>809</v>
      </c>
      <c r="T139" s="8" t="s">
        <v>17</v>
      </c>
      <c r="U139" s="8">
        <v>8</v>
      </c>
      <c r="W139" s="8" t="s">
        <v>196</v>
      </c>
      <c r="X139" s="15">
        <v>44577</v>
      </c>
      <c r="Y139" s="15">
        <v>44580</v>
      </c>
      <c r="Z139" s="17" t="s">
        <v>201</v>
      </c>
      <c r="AA139" s="118">
        <v>6000</v>
      </c>
      <c r="AB139" s="7">
        <v>24</v>
      </c>
      <c r="AC139" s="7">
        <v>2</v>
      </c>
      <c r="AD139" s="15">
        <v>45015</v>
      </c>
      <c r="AE139" s="20">
        <v>250</v>
      </c>
      <c r="AF139" s="5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7"/>
      <c r="BA139" s="20"/>
      <c r="BB139" s="20"/>
      <c r="BD139" s="7"/>
      <c r="CS139" s="9">
        <f t="shared" si="12"/>
        <v>0</v>
      </c>
      <c r="CT139" s="20">
        <f t="shared" si="13"/>
        <v>0</v>
      </c>
      <c r="CU139" s="20">
        <f t="shared" si="14"/>
        <v>0</v>
      </c>
      <c r="CV139" s="24">
        <f t="shared" si="15"/>
        <v>250</v>
      </c>
    </row>
    <row r="140" spans="1:100" x14ac:dyDescent="0.2">
      <c r="A140" s="7" t="s">
        <v>766</v>
      </c>
      <c r="B140" s="1">
        <v>11</v>
      </c>
      <c r="C140" s="2" t="s">
        <v>36</v>
      </c>
      <c r="D140" s="2" t="s">
        <v>37</v>
      </c>
      <c r="E140" s="1"/>
      <c r="F140" s="1"/>
      <c r="G140" s="1" t="s">
        <v>17</v>
      </c>
      <c r="H140" s="1">
        <v>5</v>
      </c>
      <c r="I140" s="18">
        <v>125.84</v>
      </c>
      <c r="J140" s="18">
        <v>37900</v>
      </c>
      <c r="K140" s="2">
        <v>0</v>
      </c>
      <c r="L140" s="2" t="s">
        <v>3</v>
      </c>
      <c r="M140" s="7" t="s">
        <v>0</v>
      </c>
      <c r="N140" s="7" t="s">
        <v>6</v>
      </c>
      <c r="O140" s="7" t="s">
        <v>765</v>
      </c>
      <c r="S140" s="7" t="s">
        <v>809</v>
      </c>
      <c r="T140" s="8" t="s">
        <v>17</v>
      </c>
      <c r="U140" s="8">
        <v>8</v>
      </c>
      <c r="W140" s="8" t="s">
        <v>196</v>
      </c>
      <c r="X140" s="15">
        <v>44577</v>
      </c>
      <c r="Y140" s="15">
        <v>44580</v>
      </c>
      <c r="Z140" s="17" t="s">
        <v>201</v>
      </c>
      <c r="AA140" s="118">
        <v>6000</v>
      </c>
      <c r="AB140" s="7">
        <v>24</v>
      </c>
      <c r="AC140" s="7">
        <v>3</v>
      </c>
      <c r="AD140" s="15">
        <v>45046</v>
      </c>
      <c r="AE140" s="20">
        <v>250</v>
      </c>
      <c r="AF140" s="5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7"/>
      <c r="BA140" s="20"/>
      <c r="BB140" s="20"/>
      <c r="BD140" s="7"/>
      <c r="CS140" s="9">
        <f t="shared" si="12"/>
        <v>0</v>
      </c>
      <c r="CT140" s="20">
        <f t="shared" si="13"/>
        <v>0</v>
      </c>
      <c r="CU140" s="20">
        <f t="shared" si="14"/>
        <v>0</v>
      </c>
      <c r="CV140" s="24">
        <f t="shared" si="15"/>
        <v>250</v>
      </c>
    </row>
    <row r="141" spans="1:100" x14ac:dyDescent="0.2">
      <c r="A141" s="7" t="s">
        <v>766</v>
      </c>
      <c r="B141" s="1">
        <v>11</v>
      </c>
      <c r="C141" s="2" t="s">
        <v>36</v>
      </c>
      <c r="D141" s="2" t="s">
        <v>37</v>
      </c>
      <c r="E141" s="1"/>
      <c r="F141" s="1"/>
      <c r="G141" s="1" t="s">
        <v>17</v>
      </c>
      <c r="H141" s="1">
        <v>5</v>
      </c>
      <c r="I141" s="18">
        <v>125.84</v>
      </c>
      <c r="J141" s="18">
        <v>37900</v>
      </c>
      <c r="K141" s="2">
        <v>0</v>
      </c>
      <c r="L141" s="2" t="s">
        <v>3</v>
      </c>
      <c r="M141" s="7" t="s">
        <v>0</v>
      </c>
      <c r="N141" s="7" t="s">
        <v>6</v>
      </c>
      <c r="O141" s="7" t="s">
        <v>765</v>
      </c>
      <c r="S141" s="7" t="s">
        <v>809</v>
      </c>
      <c r="T141" s="8" t="s">
        <v>17</v>
      </c>
      <c r="U141" s="8">
        <v>8</v>
      </c>
      <c r="W141" s="8" t="s">
        <v>196</v>
      </c>
      <c r="X141" s="15">
        <v>44577</v>
      </c>
      <c r="Y141" s="15">
        <v>44580</v>
      </c>
      <c r="Z141" s="17" t="s">
        <v>201</v>
      </c>
      <c r="AA141" s="118">
        <v>6000</v>
      </c>
      <c r="AB141" s="7">
        <v>24</v>
      </c>
      <c r="AC141" s="7">
        <v>4</v>
      </c>
      <c r="AD141" s="15">
        <v>45076</v>
      </c>
      <c r="AE141" s="20">
        <v>250</v>
      </c>
      <c r="AF141" s="5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7"/>
      <c r="BA141" s="20"/>
      <c r="BB141" s="20"/>
      <c r="BD141" s="7"/>
      <c r="CS141" s="9">
        <f t="shared" si="12"/>
        <v>0</v>
      </c>
      <c r="CT141" s="20">
        <f t="shared" si="13"/>
        <v>0</v>
      </c>
      <c r="CU141" s="20">
        <f t="shared" si="14"/>
        <v>0</v>
      </c>
      <c r="CV141" s="24">
        <f t="shared" si="15"/>
        <v>250</v>
      </c>
    </row>
    <row r="142" spans="1:100" x14ac:dyDescent="0.2">
      <c r="A142" s="7" t="s">
        <v>766</v>
      </c>
      <c r="B142" s="1">
        <v>11</v>
      </c>
      <c r="C142" s="2" t="s">
        <v>36</v>
      </c>
      <c r="D142" s="2" t="s">
        <v>37</v>
      </c>
      <c r="E142" s="1"/>
      <c r="F142" s="1"/>
      <c r="G142" s="1" t="s">
        <v>17</v>
      </c>
      <c r="H142" s="1">
        <v>5</v>
      </c>
      <c r="I142" s="18">
        <v>125.84</v>
      </c>
      <c r="J142" s="18">
        <v>37900</v>
      </c>
      <c r="K142" s="2">
        <v>0</v>
      </c>
      <c r="L142" s="2" t="s">
        <v>3</v>
      </c>
      <c r="M142" s="7" t="s">
        <v>0</v>
      </c>
      <c r="N142" s="7" t="s">
        <v>6</v>
      </c>
      <c r="O142" s="7" t="s">
        <v>765</v>
      </c>
      <c r="S142" s="7" t="s">
        <v>809</v>
      </c>
      <c r="T142" s="8" t="s">
        <v>17</v>
      </c>
      <c r="U142" s="8">
        <v>8</v>
      </c>
      <c r="W142" s="8" t="s">
        <v>196</v>
      </c>
      <c r="X142" s="15">
        <v>44577</v>
      </c>
      <c r="Y142" s="15">
        <v>44580</v>
      </c>
      <c r="Z142" s="17" t="s">
        <v>201</v>
      </c>
      <c r="AA142" s="118">
        <v>6000</v>
      </c>
      <c r="AB142" s="7">
        <v>24</v>
      </c>
      <c r="AC142" s="7">
        <v>5</v>
      </c>
      <c r="AD142" s="15">
        <v>45107</v>
      </c>
      <c r="AE142" s="20">
        <v>250</v>
      </c>
      <c r="AF142" s="5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7"/>
      <c r="BA142" s="20"/>
      <c r="BB142" s="20"/>
      <c r="BD142" s="7"/>
      <c r="CS142" s="9">
        <f t="shared" si="12"/>
        <v>0</v>
      </c>
      <c r="CT142" s="20">
        <f t="shared" si="13"/>
        <v>0</v>
      </c>
      <c r="CU142" s="20">
        <f t="shared" si="14"/>
        <v>0</v>
      </c>
      <c r="CV142" s="24">
        <f t="shared" si="15"/>
        <v>250</v>
      </c>
    </row>
    <row r="143" spans="1:100" x14ac:dyDescent="0.2">
      <c r="A143" s="7" t="s">
        <v>766</v>
      </c>
      <c r="B143" s="1">
        <v>11</v>
      </c>
      <c r="C143" s="2" t="s">
        <v>36</v>
      </c>
      <c r="D143" s="2" t="s">
        <v>37</v>
      </c>
      <c r="E143" s="1"/>
      <c r="F143" s="1"/>
      <c r="G143" s="1" t="s">
        <v>17</v>
      </c>
      <c r="H143" s="1">
        <v>5</v>
      </c>
      <c r="I143" s="18">
        <v>125.84</v>
      </c>
      <c r="J143" s="18">
        <v>37900</v>
      </c>
      <c r="K143" s="2">
        <v>0</v>
      </c>
      <c r="L143" s="2" t="s">
        <v>3</v>
      </c>
      <c r="M143" s="7" t="s">
        <v>0</v>
      </c>
      <c r="N143" s="7" t="s">
        <v>6</v>
      </c>
      <c r="O143" s="7" t="s">
        <v>765</v>
      </c>
      <c r="S143" s="7" t="s">
        <v>809</v>
      </c>
      <c r="T143" s="8" t="s">
        <v>17</v>
      </c>
      <c r="U143" s="8">
        <v>8</v>
      </c>
      <c r="W143" s="8" t="s">
        <v>196</v>
      </c>
      <c r="X143" s="15">
        <v>44577</v>
      </c>
      <c r="Y143" s="15">
        <v>44580</v>
      </c>
      <c r="Z143" s="17" t="s">
        <v>201</v>
      </c>
      <c r="AA143" s="118">
        <v>6000</v>
      </c>
      <c r="AB143" s="7">
        <v>24</v>
      </c>
      <c r="AC143" s="7">
        <v>6</v>
      </c>
      <c r="AD143" s="15">
        <v>45137</v>
      </c>
      <c r="AE143" s="20">
        <v>250</v>
      </c>
      <c r="AF143" s="5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7"/>
      <c r="BA143" s="20"/>
      <c r="BB143" s="20"/>
      <c r="BD143" s="7"/>
      <c r="CS143" s="9">
        <f t="shared" si="12"/>
        <v>0</v>
      </c>
      <c r="CT143" s="20">
        <f t="shared" si="13"/>
        <v>0</v>
      </c>
      <c r="CU143" s="20">
        <f t="shared" si="14"/>
        <v>0</v>
      </c>
      <c r="CV143" s="24">
        <f t="shared" si="15"/>
        <v>250</v>
      </c>
    </row>
    <row r="144" spans="1:100" x14ac:dyDescent="0.2">
      <c r="A144" s="7" t="s">
        <v>766</v>
      </c>
      <c r="B144" s="1">
        <v>11</v>
      </c>
      <c r="C144" s="2" t="s">
        <v>36</v>
      </c>
      <c r="D144" s="2" t="s">
        <v>37</v>
      </c>
      <c r="E144" s="1"/>
      <c r="F144" s="1"/>
      <c r="G144" s="1" t="s">
        <v>17</v>
      </c>
      <c r="H144" s="1">
        <v>5</v>
      </c>
      <c r="I144" s="18">
        <v>125.84</v>
      </c>
      <c r="J144" s="18">
        <v>37900</v>
      </c>
      <c r="K144" s="2">
        <v>0</v>
      </c>
      <c r="L144" s="2" t="s">
        <v>3</v>
      </c>
      <c r="M144" s="7" t="s">
        <v>0</v>
      </c>
      <c r="N144" s="7" t="s">
        <v>6</v>
      </c>
      <c r="O144" s="7" t="s">
        <v>765</v>
      </c>
      <c r="S144" s="7" t="s">
        <v>809</v>
      </c>
      <c r="T144" s="8" t="s">
        <v>17</v>
      </c>
      <c r="U144" s="8">
        <v>8</v>
      </c>
      <c r="W144" s="8" t="s">
        <v>196</v>
      </c>
      <c r="X144" s="15">
        <v>44577</v>
      </c>
      <c r="Y144" s="15">
        <v>44580</v>
      </c>
      <c r="Z144" s="17" t="s">
        <v>201</v>
      </c>
      <c r="AA144" s="118">
        <v>6000</v>
      </c>
      <c r="AB144" s="7">
        <v>24</v>
      </c>
      <c r="AC144" s="7">
        <v>7</v>
      </c>
      <c r="AD144" s="15">
        <v>45168</v>
      </c>
      <c r="AE144" s="20">
        <v>250</v>
      </c>
      <c r="AF144" s="5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7"/>
      <c r="BA144" s="20"/>
      <c r="BB144" s="20"/>
      <c r="BD144" s="7"/>
      <c r="CS144" s="9">
        <f t="shared" si="12"/>
        <v>0</v>
      </c>
      <c r="CT144" s="20">
        <f t="shared" si="13"/>
        <v>0</v>
      </c>
      <c r="CU144" s="20">
        <f t="shared" si="14"/>
        <v>0</v>
      </c>
      <c r="CV144" s="24">
        <f t="shared" si="15"/>
        <v>250</v>
      </c>
    </row>
    <row r="145" spans="1:100" x14ac:dyDescent="0.2">
      <c r="A145" s="7" t="s">
        <v>766</v>
      </c>
      <c r="B145" s="1">
        <v>11</v>
      </c>
      <c r="C145" s="2" t="s">
        <v>36</v>
      </c>
      <c r="D145" s="2" t="s">
        <v>37</v>
      </c>
      <c r="E145" s="1"/>
      <c r="F145" s="1"/>
      <c r="G145" s="1" t="s">
        <v>17</v>
      </c>
      <c r="H145" s="1">
        <v>5</v>
      </c>
      <c r="I145" s="18">
        <v>125.84</v>
      </c>
      <c r="J145" s="18">
        <v>37900</v>
      </c>
      <c r="K145" s="2">
        <v>0</v>
      </c>
      <c r="L145" s="2" t="s">
        <v>3</v>
      </c>
      <c r="M145" s="7" t="s">
        <v>0</v>
      </c>
      <c r="N145" s="7" t="s">
        <v>6</v>
      </c>
      <c r="O145" s="7" t="s">
        <v>765</v>
      </c>
      <c r="S145" s="7" t="s">
        <v>809</v>
      </c>
      <c r="T145" s="8" t="s">
        <v>17</v>
      </c>
      <c r="U145" s="8">
        <v>8</v>
      </c>
      <c r="W145" s="8" t="s">
        <v>196</v>
      </c>
      <c r="X145" s="15">
        <v>44577</v>
      </c>
      <c r="Y145" s="15">
        <v>44580</v>
      </c>
      <c r="Z145" s="17" t="s">
        <v>201</v>
      </c>
      <c r="AA145" s="118">
        <v>6000</v>
      </c>
      <c r="AB145" s="7">
        <v>24</v>
      </c>
      <c r="AC145" s="7">
        <v>8</v>
      </c>
      <c r="AD145" s="15">
        <v>45199</v>
      </c>
      <c r="AE145" s="20">
        <v>250</v>
      </c>
      <c r="AF145" s="5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7"/>
      <c r="BA145" s="20"/>
      <c r="BB145" s="20"/>
      <c r="BD145" s="7"/>
      <c r="CS145" s="9">
        <f t="shared" si="12"/>
        <v>0</v>
      </c>
      <c r="CT145" s="20">
        <f t="shared" si="13"/>
        <v>0</v>
      </c>
      <c r="CU145" s="20">
        <f t="shared" si="14"/>
        <v>0</v>
      </c>
      <c r="CV145" s="24">
        <f t="shared" si="15"/>
        <v>250</v>
      </c>
    </row>
    <row r="146" spans="1:100" x14ac:dyDescent="0.2">
      <c r="A146" s="7" t="s">
        <v>766</v>
      </c>
      <c r="B146" s="1">
        <v>11</v>
      </c>
      <c r="C146" s="2" t="s">
        <v>36</v>
      </c>
      <c r="D146" s="2" t="s">
        <v>37</v>
      </c>
      <c r="E146" s="1"/>
      <c r="F146" s="1"/>
      <c r="G146" s="1" t="s">
        <v>17</v>
      </c>
      <c r="H146" s="1">
        <v>5</v>
      </c>
      <c r="I146" s="18">
        <v>125.84</v>
      </c>
      <c r="J146" s="18">
        <v>37900</v>
      </c>
      <c r="K146" s="2">
        <v>0</v>
      </c>
      <c r="L146" s="2" t="s">
        <v>3</v>
      </c>
      <c r="M146" s="7" t="s">
        <v>0</v>
      </c>
      <c r="N146" s="7" t="s">
        <v>6</v>
      </c>
      <c r="O146" s="7" t="s">
        <v>765</v>
      </c>
      <c r="S146" s="7" t="s">
        <v>809</v>
      </c>
      <c r="T146" s="8" t="s">
        <v>17</v>
      </c>
      <c r="U146" s="8">
        <v>8</v>
      </c>
      <c r="W146" s="8" t="s">
        <v>196</v>
      </c>
      <c r="X146" s="15">
        <v>44577</v>
      </c>
      <c r="Y146" s="15">
        <v>44580</v>
      </c>
      <c r="Z146" s="17" t="s">
        <v>201</v>
      </c>
      <c r="AA146" s="118">
        <v>6000</v>
      </c>
      <c r="AB146" s="7">
        <v>24</v>
      </c>
      <c r="AC146" s="7">
        <v>9</v>
      </c>
      <c r="AD146" s="15">
        <v>45229</v>
      </c>
      <c r="AE146" s="20">
        <v>250</v>
      </c>
      <c r="AF146" s="5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7"/>
      <c r="BA146" s="20"/>
      <c r="BB146" s="20"/>
      <c r="BD146" s="7"/>
      <c r="CS146" s="9">
        <f t="shared" si="12"/>
        <v>0</v>
      </c>
      <c r="CT146" s="20">
        <f t="shared" si="13"/>
        <v>0</v>
      </c>
      <c r="CU146" s="20">
        <f t="shared" si="14"/>
        <v>0</v>
      </c>
      <c r="CV146" s="24">
        <f t="shared" si="15"/>
        <v>250</v>
      </c>
    </row>
    <row r="147" spans="1:100" x14ac:dyDescent="0.2">
      <c r="A147" s="7" t="s">
        <v>766</v>
      </c>
      <c r="B147" s="1">
        <v>11</v>
      </c>
      <c r="C147" s="2" t="s">
        <v>36</v>
      </c>
      <c r="D147" s="2" t="s">
        <v>37</v>
      </c>
      <c r="E147" s="1"/>
      <c r="F147" s="1"/>
      <c r="G147" s="1" t="s">
        <v>17</v>
      </c>
      <c r="H147" s="1">
        <v>5</v>
      </c>
      <c r="I147" s="18">
        <v>125.84</v>
      </c>
      <c r="J147" s="18">
        <v>37900</v>
      </c>
      <c r="K147" s="2">
        <v>0</v>
      </c>
      <c r="L147" s="2" t="s">
        <v>3</v>
      </c>
      <c r="M147" s="7" t="s">
        <v>0</v>
      </c>
      <c r="N147" s="7" t="s">
        <v>6</v>
      </c>
      <c r="O147" s="7" t="s">
        <v>765</v>
      </c>
      <c r="S147" s="7" t="s">
        <v>809</v>
      </c>
      <c r="T147" s="8" t="s">
        <v>17</v>
      </c>
      <c r="U147" s="8">
        <v>8</v>
      </c>
      <c r="W147" s="8" t="s">
        <v>196</v>
      </c>
      <c r="X147" s="15">
        <v>44577</v>
      </c>
      <c r="Y147" s="15">
        <v>44580</v>
      </c>
      <c r="Z147" s="17" t="s">
        <v>201</v>
      </c>
      <c r="AA147" s="118">
        <v>6000</v>
      </c>
      <c r="AB147" s="7">
        <v>24</v>
      </c>
      <c r="AC147" s="7">
        <v>10</v>
      </c>
      <c r="AD147" s="15">
        <v>45260</v>
      </c>
      <c r="AE147" s="20">
        <v>250</v>
      </c>
      <c r="AF147" s="5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7"/>
      <c r="BA147" s="20"/>
      <c r="BB147" s="20"/>
      <c r="BD147" s="7"/>
      <c r="CS147" s="9">
        <f t="shared" si="12"/>
        <v>0</v>
      </c>
      <c r="CT147" s="20">
        <f t="shared" si="13"/>
        <v>0</v>
      </c>
      <c r="CU147" s="20">
        <f t="shared" si="14"/>
        <v>0</v>
      </c>
      <c r="CV147" s="24">
        <f t="shared" si="15"/>
        <v>250</v>
      </c>
    </row>
    <row r="148" spans="1:100" x14ac:dyDescent="0.2">
      <c r="A148" s="7" t="s">
        <v>766</v>
      </c>
      <c r="B148" s="1">
        <v>11</v>
      </c>
      <c r="C148" s="2" t="s">
        <v>36</v>
      </c>
      <c r="D148" s="2" t="s">
        <v>37</v>
      </c>
      <c r="E148" s="1"/>
      <c r="F148" s="1"/>
      <c r="G148" s="1" t="s">
        <v>17</v>
      </c>
      <c r="H148" s="1">
        <v>5</v>
      </c>
      <c r="I148" s="18">
        <v>125.84</v>
      </c>
      <c r="J148" s="18">
        <v>37900</v>
      </c>
      <c r="K148" s="2">
        <v>0</v>
      </c>
      <c r="L148" s="2" t="s">
        <v>3</v>
      </c>
      <c r="M148" s="7" t="s">
        <v>0</v>
      </c>
      <c r="N148" s="7" t="s">
        <v>6</v>
      </c>
      <c r="O148" s="7" t="s">
        <v>765</v>
      </c>
      <c r="S148" s="7" t="s">
        <v>809</v>
      </c>
      <c r="T148" s="8" t="s">
        <v>17</v>
      </c>
      <c r="U148" s="8">
        <v>8</v>
      </c>
      <c r="W148" s="8" t="s">
        <v>196</v>
      </c>
      <c r="X148" s="15">
        <v>44577</v>
      </c>
      <c r="Y148" s="15">
        <v>44580</v>
      </c>
      <c r="Z148" s="17" t="s">
        <v>201</v>
      </c>
      <c r="AA148" s="118">
        <v>6000</v>
      </c>
      <c r="AB148" s="7">
        <v>24</v>
      </c>
      <c r="AC148" s="7">
        <v>11</v>
      </c>
      <c r="AD148" s="15">
        <v>45290</v>
      </c>
      <c r="AE148" s="20">
        <v>250</v>
      </c>
      <c r="AF148" s="5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7"/>
      <c r="BA148" s="20"/>
      <c r="BB148" s="20"/>
      <c r="BD148" s="7"/>
      <c r="CS148" s="9">
        <f t="shared" si="12"/>
        <v>0</v>
      </c>
      <c r="CT148" s="20">
        <f t="shared" si="13"/>
        <v>0</v>
      </c>
      <c r="CU148" s="20">
        <f t="shared" si="14"/>
        <v>0</v>
      </c>
      <c r="CV148" s="24">
        <f t="shared" si="15"/>
        <v>250</v>
      </c>
    </row>
    <row r="149" spans="1:100" x14ac:dyDescent="0.2">
      <c r="A149" s="7" t="s">
        <v>766</v>
      </c>
      <c r="B149" s="1">
        <v>11</v>
      </c>
      <c r="C149" s="2" t="s">
        <v>36</v>
      </c>
      <c r="D149" s="2" t="s">
        <v>37</v>
      </c>
      <c r="E149" s="1"/>
      <c r="F149" s="1"/>
      <c r="G149" s="1" t="s">
        <v>17</v>
      </c>
      <c r="H149" s="1">
        <v>5</v>
      </c>
      <c r="I149" s="18">
        <v>125.84</v>
      </c>
      <c r="J149" s="18">
        <v>37900</v>
      </c>
      <c r="K149" s="2">
        <v>0</v>
      </c>
      <c r="L149" s="2" t="s">
        <v>3</v>
      </c>
      <c r="M149" s="7" t="s">
        <v>0</v>
      </c>
      <c r="N149" s="7" t="s">
        <v>6</v>
      </c>
      <c r="O149" s="7" t="s">
        <v>765</v>
      </c>
      <c r="S149" s="7" t="s">
        <v>809</v>
      </c>
      <c r="T149" s="8" t="s">
        <v>17</v>
      </c>
      <c r="U149" s="8">
        <v>8</v>
      </c>
      <c r="W149" s="8" t="s">
        <v>196</v>
      </c>
      <c r="X149" s="15">
        <v>44577</v>
      </c>
      <c r="Y149" s="15">
        <v>44580</v>
      </c>
      <c r="Z149" s="17" t="s">
        <v>201</v>
      </c>
      <c r="AA149" s="118">
        <v>6000</v>
      </c>
      <c r="AB149" s="7">
        <v>24</v>
      </c>
      <c r="AC149" s="7">
        <v>12</v>
      </c>
      <c r="AD149" s="15">
        <v>45321</v>
      </c>
      <c r="AE149" s="20">
        <v>250</v>
      </c>
      <c r="AF149" s="5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7"/>
      <c r="BA149" s="20"/>
      <c r="BB149" s="20"/>
      <c r="BD149" s="7"/>
      <c r="CS149" s="9">
        <f t="shared" si="12"/>
        <v>0</v>
      </c>
      <c r="CT149" s="20">
        <f t="shared" si="13"/>
        <v>0</v>
      </c>
      <c r="CU149" s="20">
        <f t="shared" si="14"/>
        <v>0</v>
      </c>
      <c r="CV149" s="24">
        <f t="shared" si="15"/>
        <v>250</v>
      </c>
    </row>
    <row r="150" spans="1:100" x14ac:dyDescent="0.2">
      <c r="A150" s="7" t="s">
        <v>766</v>
      </c>
      <c r="B150" s="1">
        <v>11</v>
      </c>
      <c r="C150" s="2" t="s">
        <v>36</v>
      </c>
      <c r="D150" s="2" t="s">
        <v>37</v>
      </c>
      <c r="E150" s="1"/>
      <c r="F150" s="1"/>
      <c r="G150" s="1" t="s">
        <v>17</v>
      </c>
      <c r="H150" s="1">
        <v>5</v>
      </c>
      <c r="I150" s="18">
        <v>125.84</v>
      </c>
      <c r="J150" s="18">
        <v>37900</v>
      </c>
      <c r="K150" s="2">
        <v>0</v>
      </c>
      <c r="L150" s="2" t="s">
        <v>3</v>
      </c>
      <c r="M150" s="7" t="s">
        <v>0</v>
      </c>
      <c r="N150" s="7" t="s">
        <v>6</v>
      </c>
      <c r="O150" s="7" t="s">
        <v>765</v>
      </c>
      <c r="S150" s="7" t="s">
        <v>809</v>
      </c>
      <c r="T150" s="8" t="s">
        <v>17</v>
      </c>
      <c r="U150" s="8">
        <v>8</v>
      </c>
      <c r="W150" s="8" t="s">
        <v>196</v>
      </c>
      <c r="X150" s="15">
        <v>44577</v>
      </c>
      <c r="Y150" s="15">
        <v>44580</v>
      </c>
      <c r="Z150" s="17" t="s">
        <v>201</v>
      </c>
      <c r="AA150" s="118">
        <v>6000</v>
      </c>
      <c r="AB150" s="7">
        <v>24</v>
      </c>
      <c r="AC150" s="7">
        <v>13</v>
      </c>
      <c r="AD150" s="15">
        <v>45351</v>
      </c>
      <c r="AE150" s="20">
        <v>250</v>
      </c>
      <c r="AF150" s="5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7"/>
      <c r="BA150" s="20"/>
      <c r="BB150" s="20"/>
      <c r="BD150" s="7"/>
      <c r="CS150" s="9">
        <f t="shared" si="12"/>
        <v>0</v>
      </c>
      <c r="CT150" s="20">
        <f t="shared" si="13"/>
        <v>0</v>
      </c>
      <c r="CU150" s="20">
        <f t="shared" si="14"/>
        <v>0</v>
      </c>
      <c r="CV150" s="24">
        <f t="shared" si="15"/>
        <v>250</v>
      </c>
    </row>
    <row r="151" spans="1:100" x14ac:dyDescent="0.2">
      <c r="A151" s="7" t="s">
        <v>766</v>
      </c>
      <c r="B151" s="1">
        <v>11</v>
      </c>
      <c r="C151" s="2" t="s">
        <v>36</v>
      </c>
      <c r="D151" s="2" t="s">
        <v>37</v>
      </c>
      <c r="E151" s="1"/>
      <c r="F151" s="1"/>
      <c r="G151" s="1" t="s">
        <v>17</v>
      </c>
      <c r="H151" s="1">
        <v>5</v>
      </c>
      <c r="I151" s="18">
        <v>125.84</v>
      </c>
      <c r="J151" s="18">
        <v>37900</v>
      </c>
      <c r="K151" s="2">
        <v>0</v>
      </c>
      <c r="L151" s="2" t="s">
        <v>3</v>
      </c>
      <c r="M151" s="7" t="s">
        <v>0</v>
      </c>
      <c r="N151" s="7" t="s">
        <v>6</v>
      </c>
      <c r="O151" s="7" t="s">
        <v>765</v>
      </c>
      <c r="S151" s="7" t="s">
        <v>809</v>
      </c>
      <c r="T151" s="8" t="s">
        <v>17</v>
      </c>
      <c r="U151" s="8">
        <v>8</v>
      </c>
      <c r="W151" s="8" t="s">
        <v>196</v>
      </c>
      <c r="X151" s="15">
        <v>44577</v>
      </c>
      <c r="Y151" s="15">
        <v>44580</v>
      </c>
      <c r="Z151" s="17" t="s">
        <v>201</v>
      </c>
      <c r="AA151" s="118">
        <v>6000</v>
      </c>
      <c r="AB151" s="7">
        <v>24</v>
      </c>
      <c r="AC151" s="7">
        <v>14</v>
      </c>
      <c r="AD151" s="15">
        <v>45381</v>
      </c>
      <c r="AE151" s="20">
        <v>250</v>
      </c>
      <c r="AF151" s="5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7"/>
      <c r="BA151" s="20"/>
      <c r="BB151" s="20"/>
      <c r="BD151" s="7"/>
      <c r="CS151" s="9">
        <f t="shared" si="12"/>
        <v>0</v>
      </c>
      <c r="CT151" s="20">
        <f t="shared" si="13"/>
        <v>0</v>
      </c>
      <c r="CU151" s="20">
        <f t="shared" si="14"/>
        <v>0</v>
      </c>
      <c r="CV151" s="24">
        <f t="shared" si="15"/>
        <v>250</v>
      </c>
    </row>
    <row r="152" spans="1:100" x14ac:dyDescent="0.2">
      <c r="A152" s="7" t="s">
        <v>766</v>
      </c>
      <c r="B152" s="1">
        <v>11</v>
      </c>
      <c r="C152" s="2" t="s">
        <v>36</v>
      </c>
      <c r="D152" s="2" t="s">
        <v>37</v>
      </c>
      <c r="E152" s="1"/>
      <c r="F152" s="1"/>
      <c r="G152" s="1" t="s">
        <v>17</v>
      </c>
      <c r="H152" s="1">
        <v>5</v>
      </c>
      <c r="I152" s="18">
        <v>125.84</v>
      </c>
      <c r="J152" s="18">
        <v>37900</v>
      </c>
      <c r="K152" s="2">
        <v>0</v>
      </c>
      <c r="L152" s="2" t="s">
        <v>3</v>
      </c>
      <c r="M152" s="7" t="s">
        <v>0</v>
      </c>
      <c r="N152" s="7" t="s">
        <v>6</v>
      </c>
      <c r="O152" s="7" t="s">
        <v>765</v>
      </c>
      <c r="S152" s="7" t="s">
        <v>809</v>
      </c>
      <c r="T152" s="8" t="s">
        <v>17</v>
      </c>
      <c r="U152" s="8">
        <v>8</v>
      </c>
      <c r="W152" s="8" t="s">
        <v>196</v>
      </c>
      <c r="X152" s="15">
        <v>44577</v>
      </c>
      <c r="Y152" s="15">
        <v>44580</v>
      </c>
      <c r="Z152" s="17" t="s">
        <v>201</v>
      </c>
      <c r="AA152" s="118">
        <v>6000</v>
      </c>
      <c r="AB152" s="7">
        <v>24</v>
      </c>
      <c r="AC152" s="7">
        <v>15</v>
      </c>
      <c r="AD152" s="15">
        <v>45412</v>
      </c>
      <c r="AE152" s="20">
        <v>250</v>
      </c>
      <c r="AF152" s="5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7"/>
      <c r="BA152" s="20"/>
      <c r="BB152" s="20"/>
      <c r="BD152" s="7"/>
      <c r="CS152" s="9">
        <f t="shared" si="12"/>
        <v>0</v>
      </c>
      <c r="CT152" s="20">
        <f t="shared" si="13"/>
        <v>0</v>
      </c>
      <c r="CU152" s="20">
        <f t="shared" si="14"/>
        <v>0</v>
      </c>
      <c r="CV152" s="24">
        <f t="shared" si="15"/>
        <v>250</v>
      </c>
    </row>
    <row r="153" spans="1:100" x14ac:dyDescent="0.2">
      <c r="A153" s="7" t="s">
        <v>766</v>
      </c>
      <c r="B153" s="1">
        <v>11</v>
      </c>
      <c r="C153" s="2" t="s">
        <v>36</v>
      </c>
      <c r="D153" s="2" t="s">
        <v>37</v>
      </c>
      <c r="E153" s="1"/>
      <c r="F153" s="1"/>
      <c r="G153" s="1" t="s">
        <v>17</v>
      </c>
      <c r="H153" s="1">
        <v>5</v>
      </c>
      <c r="I153" s="18">
        <v>125.84</v>
      </c>
      <c r="J153" s="18">
        <v>37900</v>
      </c>
      <c r="K153" s="2">
        <v>0</v>
      </c>
      <c r="L153" s="2" t="s">
        <v>3</v>
      </c>
      <c r="M153" s="7" t="s">
        <v>0</v>
      </c>
      <c r="N153" s="7" t="s">
        <v>6</v>
      </c>
      <c r="O153" s="7" t="s">
        <v>765</v>
      </c>
      <c r="S153" s="7" t="s">
        <v>809</v>
      </c>
      <c r="T153" s="8" t="s">
        <v>17</v>
      </c>
      <c r="U153" s="8">
        <v>8</v>
      </c>
      <c r="W153" s="8" t="s">
        <v>196</v>
      </c>
      <c r="X153" s="15">
        <v>44577</v>
      </c>
      <c r="Y153" s="15">
        <v>44580</v>
      </c>
      <c r="Z153" s="17" t="s">
        <v>201</v>
      </c>
      <c r="AA153" s="118">
        <v>6000</v>
      </c>
      <c r="AB153" s="7">
        <v>24</v>
      </c>
      <c r="AC153" s="7">
        <v>16</v>
      </c>
      <c r="AD153" s="15">
        <v>45442</v>
      </c>
      <c r="AE153" s="20">
        <v>250</v>
      </c>
      <c r="AF153" s="5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7"/>
      <c r="BA153" s="20"/>
      <c r="BB153" s="20"/>
      <c r="BD153" s="7"/>
      <c r="CS153" s="9">
        <f t="shared" si="12"/>
        <v>0</v>
      </c>
      <c r="CT153" s="20">
        <f t="shared" si="13"/>
        <v>0</v>
      </c>
      <c r="CU153" s="20">
        <f t="shared" si="14"/>
        <v>0</v>
      </c>
      <c r="CV153" s="24">
        <f t="shared" si="15"/>
        <v>250</v>
      </c>
    </row>
    <row r="154" spans="1:100" x14ac:dyDescent="0.2">
      <c r="A154" s="7" t="s">
        <v>766</v>
      </c>
      <c r="B154" s="1">
        <v>11</v>
      </c>
      <c r="C154" s="2" t="s">
        <v>36</v>
      </c>
      <c r="D154" s="2" t="s">
        <v>37</v>
      </c>
      <c r="E154" s="1"/>
      <c r="F154" s="1"/>
      <c r="G154" s="1" t="s">
        <v>17</v>
      </c>
      <c r="H154" s="1">
        <v>5</v>
      </c>
      <c r="I154" s="18">
        <v>125.84</v>
      </c>
      <c r="J154" s="18">
        <v>37900</v>
      </c>
      <c r="K154" s="2">
        <v>0</v>
      </c>
      <c r="L154" s="2" t="s">
        <v>3</v>
      </c>
      <c r="M154" s="7" t="s">
        <v>0</v>
      </c>
      <c r="N154" s="7" t="s">
        <v>6</v>
      </c>
      <c r="O154" s="7" t="s">
        <v>765</v>
      </c>
      <c r="S154" s="7" t="s">
        <v>809</v>
      </c>
      <c r="T154" s="8" t="s">
        <v>17</v>
      </c>
      <c r="U154" s="8">
        <v>8</v>
      </c>
      <c r="W154" s="8" t="s">
        <v>196</v>
      </c>
      <c r="X154" s="15">
        <v>44577</v>
      </c>
      <c r="Y154" s="15">
        <v>44580</v>
      </c>
      <c r="Z154" s="17" t="s">
        <v>201</v>
      </c>
      <c r="AA154" s="118">
        <v>6000</v>
      </c>
      <c r="AB154" s="7">
        <v>24</v>
      </c>
      <c r="AC154" s="7">
        <v>17</v>
      </c>
      <c r="AD154" s="15">
        <v>45473</v>
      </c>
      <c r="AE154" s="20">
        <v>250</v>
      </c>
      <c r="AF154" s="5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7"/>
      <c r="BA154" s="20"/>
      <c r="BB154" s="20"/>
      <c r="BD154" s="7"/>
      <c r="CS154" s="9">
        <f t="shared" si="12"/>
        <v>0</v>
      </c>
      <c r="CT154" s="20">
        <f t="shared" si="13"/>
        <v>0</v>
      </c>
      <c r="CU154" s="20">
        <f t="shared" si="14"/>
        <v>0</v>
      </c>
      <c r="CV154" s="24">
        <f t="shared" si="15"/>
        <v>250</v>
      </c>
    </row>
    <row r="155" spans="1:100" x14ac:dyDescent="0.2">
      <c r="A155" s="7" t="s">
        <v>766</v>
      </c>
      <c r="B155" s="1">
        <v>11</v>
      </c>
      <c r="C155" s="2" t="s">
        <v>36</v>
      </c>
      <c r="D155" s="2" t="s">
        <v>37</v>
      </c>
      <c r="E155" s="1"/>
      <c r="F155" s="1"/>
      <c r="G155" s="1" t="s">
        <v>17</v>
      </c>
      <c r="H155" s="1">
        <v>5</v>
      </c>
      <c r="I155" s="18">
        <v>125.84</v>
      </c>
      <c r="J155" s="18">
        <v>37900</v>
      </c>
      <c r="K155" s="2">
        <v>0</v>
      </c>
      <c r="L155" s="2" t="s">
        <v>3</v>
      </c>
      <c r="M155" s="7" t="s">
        <v>0</v>
      </c>
      <c r="N155" s="7" t="s">
        <v>6</v>
      </c>
      <c r="O155" s="7" t="s">
        <v>765</v>
      </c>
      <c r="S155" s="7" t="s">
        <v>809</v>
      </c>
      <c r="T155" s="8" t="s">
        <v>17</v>
      </c>
      <c r="U155" s="8">
        <v>8</v>
      </c>
      <c r="W155" s="8" t="s">
        <v>196</v>
      </c>
      <c r="X155" s="15">
        <v>44577</v>
      </c>
      <c r="Y155" s="15">
        <v>44580</v>
      </c>
      <c r="Z155" s="17" t="s">
        <v>201</v>
      </c>
      <c r="AA155" s="118">
        <v>6000</v>
      </c>
      <c r="AB155" s="7">
        <v>24</v>
      </c>
      <c r="AC155" s="7">
        <v>18</v>
      </c>
      <c r="AD155" s="15">
        <v>45503</v>
      </c>
      <c r="AE155" s="20">
        <v>250</v>
      </c>
      <c r="AF155" s="5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7"/>
      <c r="BA155" s="20"/>
      <c r="BB155" s="20"/>
      <c r="BD155" s="7"/>
      <c r="CS155" s="9">
        <f t="shared" si="12"/>
        <v>0</v>
      </c>
      <c r="CT155" s="20">
        <f t="shared" si="13"/>
        <v>0</v>
      </c>
      <c r="CU155" s="20">
        <f t="shared" si="14"/>
        <v>0</v>
      </c>
      <c r="CV155" s="24">
        <f t="shared" si="15"/>
        <v>250</v>
      </c>
    </row>
    <row r="156" spans="1:100" x14ac:dyDescent="0.2">
      <c r="A156" s="7" t="s">
        <v>766</v>
      </c>
      <c r="B156" s="1">
        <v>11</v>
      </c>
      <c r="C156" s="2" t="s">
        <v>36</v>
      </c>
      <c r="D156" s="2" t="s">
        <v>37</v>
      </c>
      <c r="E156" s="1"/>
      <c r="F156" s="1"/>
      <c r="G156" s="1" t="s">
        <v>17</v>
      </c>
      <c r="H156" s="1">
        <v>5</v>
      </c>
      <c r="I156" s="18">
        <v>125.84</v>
      </c>
      <c r="J156" s="18">
        <v>37900</v>
      </c>
      <c r="K156" s="2">
        <v>0</v>
      </c>
      <c r="L156" s="2" t="s">
        <v>3</v>
      </c>
      <c r="M156" s="7" t="s">
        <v>0</v>
      </c>
      <c r="N156" s="7" t="s">
        <v>6</v>
      </c>
      <c r="O156" s="7" t="s">
        <v>765</v>
      </c>
      <c r="S156" s="7" t="s">
        <v>809</v>
      </c>
      <c r="T156" s="8" t="s">
        <v>17</v>
      </c>
      <c r="U156" s="8">
        <v>8</v>
      </c>
      <c r="W156" s="8" t="s">
        <v>196</v>
      </c>
      <c r="X156" s="15">
        <v>44577</v>
      </c>
      <c r="Y156" s="15">
        <v>44580</v>
      </c>
      <c r="Z156" s="17" t="s">
        <v>201</v>
      </c>
      <c r="AA156" s="118">
        <v>6000</v>
      </c>
      <c r="AB156" s="7">
        <v>24</v>
      </c>
      <c r="AC156" s="7">
        <v>19</v>
      </c>
      <c r="AD156" s="15">
        <v>45534</v>
      </c>
      <c r="AE156" s="20">
        <v>250</v>
      </c>
      <c r="AF156" s="5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7"/>
      <c r="BA156" s="20"/>
      <c r="BB156" s="20"/>
      <c r="BD156" s="7"/>
      <c r="CS156" s="9">
        <f t="shared" ref="CS156:CS219" si="16">+AL156+AT156</f>
        <v>0</v>
      </c>
      <c r="CT156" s="20">
        <f t="shared" ref="CT156:CT219" si="17">+BA156+BG156+BM156+BS156+BY156+CE156+CK156+CQ156</f>
        <v>0</v>
      </c>
      <c r="CU156" s="20">
        <f t="shared" ref="CU156:CU219" si="18">+CS156-CT156</f>
        <v>0</v>
      </c>
      <c r="CV156" s="24">
        <f t="shared" ref="CV156:CV219" si="19">+AE156-AL156-AT156</f>
        <v>250</v>
      </c>
    </row>
    <row r="157" spans="1:100" x14ac:dyDescent="0.2">
      <c r="A157" s="7" t="s">
        <v>766</v>
      </c>
      <c r="B157" s="1">
        <v>11</v>
      </c>
      <c r="C157" s="2" t="s">
        <v>36</v>
      </c>
      <c r="D157" s="2" t="s">
        <v>37</v>
      </c>
      <c r="E157" s="1"/>
      <c r="F157" s="1"/>
      <c r="G157" s="1" t="s">
        <v>17</v>
      </c>
      <c r="H157" s="1">
        <v>5</v>
      </c>
      <c r="I157" s="18">
        <v>125.84</v>
      </c>
      <c r="J157" s="18">
        <v>37900</v>
      </c>
      <c r="K157" s="2">
        <v>0</v>
      </c>
      <c r="L157" s="2" t="s">
        <v>3</v>
      </c>
      <c r="M157" s="7" t="s">
        <v>0</v>
      </c>
      <c r="N157" s="7" t="s">
        <v>6</v>
      </c>
      <c r="O157" s="7" t="s">
        <v>765</v>
      </c>
      <c r="S157" s="7" t="s">
        <v>809</v>
      </c>
      <c r="T157" s="8" t="s">
        <v>17</v>
      </c>
      <c r="U157" s="8">
        <v>8</v>
      </c>
      <c r="W157" s="8" t="s">
        <v>196</v>
      </c>
      <c r="X157" s="15">
        <v>44577</v>
      </c>
      <c r="Y157" s="15">
        <v>44580</v>
      </c>
      <c r="Z157" s="17" t="s">
        <v>201</v>
      </c>
      <c r="AA157" s="118">
        <v>6000</v>
      </c>
      <c r="AB157" s="7">
        <v>24</v>
      </c>
      <c r="AC157" s="7">
        <v>20</v>
      </c>
      <c r="AD157" s="15">
        <v>45565</v>
      </c>
      <c r="AE157" s="20">
        <v>250</v>
      </c>
      <c r="AF157" s="5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7"/>
      <c r="BA157" s="20"/>
      <c r="BB157" s="20"/>
      <c r="BD157" s="7"/>
      <c r="CS157" s="9">
        <f t="shared" si="16"/>
        <v>0</v>
      </c>
      <c r="CT157" s="20">
        <f t="shared" si="17"/>
        <v>0</v>
      </c>
      <c r="CU157" s="20">
        <f t="shared" si="18"/>
        <v>0</v>
      </c>
      <c r="CV157" s="24">
        <f t="shared" si="19"/>
        <v>250</v>
      </c>
    </row>
    <row r="158" spans="1:100" x14ac:dyDescent="0.2">
      <c r="A158" s="7" t="s">
        <v>766</v>
      </c>
      <c r="B158" s="1">
        <v>11</v>
      </c>
      <c r="C158" s="2" t="s">
        <v>36</v>
      </c>
      <c r="D158" s="2" t="s">
        <v>37</v>
      </c>
      <c r="E158" s="1"/>
      <c r="F158" s="1"/>
      <c r="G158" s="1" t="s">
        <v>17</v>
      </c>
      <c r="H158" s="1">
        <v>5</v>
      </c>
      <c r="I158" s="18">
        <v>125.84</v>
      </c>
      <c r="J158" s="18">
        <v>37900</v>
      </c>
      <c r="K158" s="2">
        <v>0</v>
      </c>
      <c r="L158" s="2" t="s">
        <v>3</v>
      </c>
      <c r="M158" s="7" t="s">
        <v>0</v>
      </c>
      <c r="N158" s="7" t="s">
        <v>6</v>
      </c>
      <c r="O158" s="7" t="s">
        <v>765</v>
      </c>
      <c r="S158" s="7" t="s">
        <v>809</v>
      </c>
      <c r="T158" s="8" t="s">
        <v>17</v>
      </c>
      <c r="U158" s="8">
        <v>8</v>
      </c>
      <c r="W158" s="8" t="s">
        <v>196</v>
      </c>
      <c r="X158" s="15">
        <v>44577</v>
      </c>
      <c r="Y158" s="15">
        <v>44580</v>
      </c>
      <c r="Z158" s="17" t="s">
        <v>201</v>
      </c>
      <c r="AA158" s="118">
        <v>6000</v>
      </c>
      <c r="AB158" s="7">
        <v>24</v>
      </c>
      <c r="AC158" s="7">
        <v>21</v>
      </c>
      <c r="AD158" s="15">
        <v>45595</v>
      </c>
      <c r="AE158" s="20">
        <v>250</v>
      </c>
      <c r="AF158" s="5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7"/>
      <c r="BA158" s="20"/>
      <c r="BB158" s="20"/>
      <c r="BD158" s="7"/>
      <c r="CS158" s="9">
        <f t="shared" si="16"/>
        <v>0</v>
      </c>
      <c r="CT158" s="20">
        <f t="shared" si="17"/>
        <v>0</v>
      </c>
      <c r="CU158" s="20">
        <f t="shared" si="18"/>
        <v>0</v>
      </c>
      <c r="CV158" s="24">
        <f t="shared" si="19"/>
        <v>250</v>
      </c>
    </row>
    <row r="159" spans="1:100" x14ac:dyDescent="0.2">
      <c r="A159" s="7" t="s">
        <v>766</v>
      </c>
      <c r="B159" s="1">
        <v>11</v>
      </c>
      <c r="C159" s="2" t="s">
        <v>36</v>
      </c>
      <c r="D159" s="2" t="s">
        <v>37</v>
      </c>
      <c r="E159" s="1"/>
      <c r="F159" s="1"/>
      <c r="G159" s="1" t="s">
        <v>17</v>
      </c>
      <c r="H159" s="1">
        <v>5</v>
      </c>
      <c r="I159" s="18">
        <v>125.84</v>
      </c>
      <c r="J159" s="18">
        <v>37900</v>
      </c>
      <c r="K159" s="2">
        <v>0</v>
      </c>
      <c r="L159" s="2" t="s">
        <v>3</v>
      </c>
      <c r="M159" s="7" t="s">
        <v>0</v>
      </c>
      <c r="N159" s="7" t="s">
        <v>6</v>
      </c>
      <c r="O159" s="7" t="s">
        <v>765</v>
      </c>
      <c r="S159" s="7" t="s">
        <v>809</v>
      </c>
      <c r="T159" s="8" t="s">
        <v>17</v>
      </c>
      <c r="U159" s="8">
        <v>8</v>
      </c>
      <c r="W159" s="8" t="s">
        <v>196</v>
      </c>
      <c r="X159" s="15">
        <v>44577</v>
      </c>
      <c r="Y159" s="15">
        <v>44580</v>
      </c>
      <c r="Z159" s="17" t="s">
        <v>201</v>
      </c>
      <c r="AA159" s="118">
        <v>6000</v>
      </c>
      <c r="AB159" s="7">
        <v>24</v>
      </c>
      <c r="AC159" s="7">
        <v>22</v>
      </c>
      <c r="AD159" s="15">
        <v>45626</v>
      </c>
      <c r="AE159" s="20">
        <v>250</v>
      </c>
      <c r="AF159" s="5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7"/>
      <c r="BA159" s="20"/>
      <c r="BB159" s="20"/>
      <c r="BD159" s="7"/>
      <c r="CS159" s="9">
        <f t="shared" si="16"/>
        <v>0</v>
      </c>
      <c r="CT159" s="20">
        <f t="shared" si="17"/>
        <v>0</v>
      </c>
      <c r="CU159" s="20">
        <f t="shared" si="18"/>
        <v>0</v>
      </c>
      <c r="CV159" s="24">
        <f t="shared" si="19"/>
        <v>250</v>
      </c>
    </row>
    <row r="160" spans="1:100" x14ac:dyDescent="0.2">
      <c r="A160" s="7" t="s">
        <v>766</v>
      </c>
      <c r="B160" s="1">
        <v>11</v>
      </c>
      <c r="C160" s="2" t="s">
        <v>36</v>
      </c>
      <c r="D160" s="2" t="s">
        <v>37</v>
      </c>
      <c r="E160" s="1"/>
      <c r="F160" s="1"/>
      <c r="G160" s="1" t="s">
        <v>17</v>
      </c>
      <c r="H160" s="1">
        <v>5</v>
      </c>
      <c r="I160" s="18">
        <v>125.84</v>
      </c>
      <c r="J160" s="18">
        <v>37900</v>
      </c>
      <c r="K160" s="2">
        <v>0</v>
      </c>
      <c r="L160" s="2" t="s">
        <v>3</v>
      </c>
      <c r="M160" s="7" t="s">
        <v>0</v>
      </c>
      <c r="N160" s="7" t="s">
        <v>6</v>
      </c>
      <c r="O160" s="7" t="s">
        <v>765</v>
      </c>
      <c r="S160" s="7" t="s">
        <v>809</v>
      </c>
      <c r="T160" s="8" t="s">
        <v>17</v>
      </c>
      <c r="U160" s="8">
        <v>8</v>
      </c>
      <c r="W160" s="8" t="s">
        <v>196</v>
      </c>
      <c r="X160" s="15">
        <v>44577</v>
      </c>
      <c r="Y160" s="15">
        <v>44580</v>
      </c>
      <c r="Z160" s="17" t="s">
        <v>201</v>
      </c>
      <c r="AA160" s="118">
        <v>6000</v>
      </c>
      <c r="AB160" s="7">
        <v>24</v>
      </c>
      <c r="AC160" s="7">
        <v>23</v>
      </c>
      <c r="AD160" s="15">
        <v>45656</v>
      </c>
      <c r="AE160" s="20">
        <v>250</v>
      </c>
      <c r="AF160" s="5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7"/>
      <c r="BA160" s="20"/>
      <c r="BB160" s="20"/>
      <c r="BD160" s="7"/>
      <c r="CS160" s="9">
        <f t="shared" si="16"/>
        <v>0</v>
      </c>
      <c r="CT160" s="20">
        <f t="shared" si="17"/>
        <v>0</v>
      </c>
      <c r="CU160" s="20">
        <f t="shared" si="18"/>
        <v>0</v>
      </c>
      <c r="CV160" s="24">
        <f t="shared" si="19"/>
        <v>250</v>
      </c>
    </row>
    <row r="161" spans="1:103" x14ac:dyDescent="0.2">
      <c r="A161" s="7" t="s">
        <v>766</v>
      </c>
      <c r="B161" s="1">
        <v>11</v>
      </c>
      <c r="C161" s="2" t="s">
        <v>36</v>
      </c>
      <c r="D161" s="2" t="s">
        <v>37</v>
      </c>
      <c r="E161" s="1"/>
      <c r="F161" s="1"/>
      <c r="G161" s="1" t="s">
        <v>17</v>
      </c>
      <c r="H161" s="1">
        <v>5</v>
      </c>
      <c r="I161" s="18">
        <v>125.84</v>
      </c>
      <c r="J161" s="18">
        <v>37900</v>
      </c>
      <c r="K161" s="2">
        <v>0</v>
      </c>
      <c r="L161" s="2" t="s">
        <v>3</v>
      </c>
      <c r="M161" s="7" t="s">
        <v>0</v>
      </c>
      <c r="N161" s="7" t="s">
        <v>6</v>
      </c>
      <c r="O161" s="7" t="s">
        <v>765</v>
      </c>
      <c r="S161" s="7" t="s">
        <v>809</v>
      </c>
      <c r="T161" s="8" t="s">
        <v>17</v>
      </c>
      <c r="U161" s="8">
        <v>8</v>
      </c>
      <c r="W161" s="8" t="s">
        <v>196</v>
      </c>
      <c r="X161" s="15">
        <v>44577</v>
      </c>
      <c r="Y161" s="15">
        <v>44580</v>
      </c>
      <c r="Z161" s="17" t="s">
        <v>201</v>
      </c>
      <c r="AA161" s="118">
        <v>6000</v>
      </c>
      <c r="AB161" s="7">
        <v>24</v>
      </c>
      <c r="AC161" s="7">
        <v>24</v>
      </c>
      <c r="AD161" s="15">
        <v>45687</v>
      </c>
      <c r="AE161" s="20">
        <v>250</v>
      </c>
      <c r="AF161" s="5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7"/>
      <c r="BA161" s="20"/>
      <c r="BB161" s="20"/>
      <c r="BD161" s="7"/>
      <c r="CS161" s="9">
        <f t="shared" si="16"/>
        <v>0</v>
      </c>
      <c r="CT161" s="20">
        <f t="shared" si="17"/>
        <v>0</v>
      </c>
      <c r="CU161" s="20">
        <f t="shared" si="18"/>
        <v>0</v>
      </c>
      <c r="CV161" s="24">
        <f t="shared" si="19"/>
        <v>250</v>
      </c>
    </row>
    <row r="162" spans="1:103" x14ac:dyDescent="0.2">
      <c r="A162" s="7" t="s">
        <v>618</v>
      </c>
      <c r="B162" s="1">
        <v>93</v>
      </c>
      <c r="C162" s="2" t="s">
        <v>36</v>
      </c>
      <c r="D162" s="2" t="s">
        <v>37</v>
      </c>
      <c r="E162" s="1"/>
      <c r="F162" s="1"/>
      <c r="G162" s="1" t="s">
        <v>23</v>
      </c>
      <c r="H162" s="1">
        <v>2</v>
      </c>
      <c r="I162" s="18">
        <v>97.54</v>
      </c>
      <c r="J162" s="18">
        <v>43351</v>
      </c>
      <c r="K162" s="2">
        <v>0</v>
      </c>
      <c r="L162" s="2" t="s">
        <v>3</v>
      </c>
      <c r="M162" s="8" t="s">
        <v>0</v>
      </c>
      <c r="N162" s="8">
        <v>48495734</v>
      </c>
      <c r="O162" s="7" t="s">
        <v>619</v>
      </c>
      <c r="S162" s="7" t="s">
        <v>96</v>
      </c>
      <c r="T162" s="8" t="s">
        <v>23</v>
      </c>
      <c r="U162" s="85" t="s">
        <v>620</v>
      </c>
      <c r="V162" s="8">
        <v>97.54</v>
      </c>
      <c r="W162" s="8" t="s">
        <v>196</v>
      </c>
      <c r="X162" s="15">
        <v>45735</v>
      </c>
      <c r="Y162" s="15">
        <v>45737</v>
      </c>
      <c r="Z162" s="17" t="s">
        <v>201</v>
      </c>
      <c r="AA162" s="120">
        <v>41000</v>
      </c>
      <c r="AB162" s="7">
        <v>84</v>
      </c>
      <c r="AC162" s="7">
        <v>0</v>
      </c>
      <c r="AD162" s="15">
        <v>45735</v>
      </c>
      <c r="AE162" s="50">
        <v>3135.02</v>
      </c>
      <c r="AF162" s="50"/>
      <c r="AG162" s="7" t="s">
        <v>195</v>
      </c>
      <c r="AH162" s="15">
        <v>45737</v>
      </c>
      <c r="AI162" s="7">
        <v>10484957342</v>
      </c>
      <c r="AJ162" s="7" t="s">
        <v>629</v>
      </c>
      <c r="AK162" s="7" t="s">
        <v>621</v>
      </c>
      <c r="AL162" s="20">
        <v>3135.02</v>
      </c>
      <c r="AM162" s="20"/>
      <c r="AN162" s="20" t="s">
        <v>625</v>
      </c>
      <c r="AO162" s="20"/>
      <c r="AP162" s="20"/>
      <c r="AQ162" s="82"/>
      <c r="AR162" s="20"/>
      <c r="AS162" s="20"/>
      <c r="AT162" s="20"/>
      <c r="AU162" s="20"/>
      <c r="AV162" s="20"/>
      <c r="AW162" s="15">
        <v>45735</v>
      </c>
      <c r="AX162" s="7">
        <v>3899</v>
      </c>
      <c r="BA162" s="20">
        <v>3135.02</v>
      </c>
      <c r="BB162" s="20"/>
      <c r="BD162" s="7"/>
      <c r="CS162" s="9">
        <f t="shared" si="16"/>
        <v>3135.02</v>
      </c>
      <c r="CT162" s="20">
        <f t="shared" si="17"/>
        <v>3135.02</v>
      </c>
      <c r="CU162" s="20">
        <f t="shared" si="18"/>
        <v>0</v>
      </c>
      <c r="CV162" s="24">
        <f t="shared" si="19"/>
        <v>0</v>
      </c>
    </row>
    <row r="163" spans="1:103" s="25" customFormat="1" x14ac:dyDescent="0.2">
      <c r="A163" s="25" t="s">
        <v>618</v>
      </c>
      <c r="B163" s="63">
        <v>93</v>
      </c>
      <c r="C163" s="64" t="s">
        <v>36</v>
      </c>
      <c r="D163" s="64" t="s">
        <v>37</v>
      </c>
      <c r="E163" s="63"/>
      <c r="F163" s="63"/>
      <c r="G163" s="63" t="s">
        <v>23</v>
      </c>
      <c r="H163" s="63">
        <v>2</v>
      </c>
      <c r="I163" s="123">
        <v>97.54</v>
      </c>
      <c r="J163" s="123">
        <v>43351</v>
      </c>
      <c r="K163" s="64">
        <v>0</v>
      </c>
      <c r="L163" s="64" t="s">
        <v>3</v>
      </c>
      <c r="M163" s="65" t="s">
        <v>0</v>
      </c>
      <c r="N163" s="65">
        <v>48495734</v>
      </c>
      <c r="O163" s="25" t="s">
        <v>619</v>
      </c>
      <c r="Q163" s="124"/>
      <c r="S163" s="25" t="s">
        <v>96</v>
      </c>
      <c r="T163" s="65" t="s">
        <v>23</v>
      </c>
      <c r="U163" s="131" t="s">
        <v>620</v>
      </c>
      <c r="V163" s="65">
        <v>97.54</v>
      </c>
      <c r="W163" s="65" t="s">
        <v>196</v>
      </c>
      <c r="X163" s="66">
        <v>45735</v>
      </c>
      <c r="Y163" s="66">
        <v>45737</v>
      </c>
      <c r="Z163" s="125" t="s">
        <v>201</v>
      </c>
      <c r="AA163" s="130">
        <v>41000</v>
      </c>
      <c r="AB163" s="25">
        <v>84</v>
      </c>
      <c r="AC163" s="25">
        <v>0</v>
      </c>
      <c r="AD163" s="66">
        <v>45771</v>
      </c>
      <c r="AE163" s="126">
        <v>4864.9799999999996</v>
      </c>
      <c r="AF163" s="126"/>
      <c r="AG163" s="25" t="s">
        <v>195</v>
      </c>
      <c r="AH163" s="66">
        <v>45771</v>
      </c>
      <c r="AI163" s="25">
        <v>10484957342</v>
      </c>
      <c r="AJ163" s="25" t="s">
        <v>629</v>
      </c>
      <c r="AK163" s="25" t="s">
        <v>622</v>
      </c>
      <c r="AL163" s="26">
        <v>4864.9799999999996</v>
      </c>
      <c r="AM163" s="26"/>
      <c r="AN163" s="26" t="s">
        <v>626</v>
      </c>
      <c r="AO163" s="26" t="s">
        <v>203</v>
      </c>
      <c r="AP163" s="129">
        <v>45744</v>
      </c>
      <c r="AQ163" s="132">
        <v>10484957342</v>
      </c>
      <c r="AR163" s="26" t="s">
        <v>629</v>
      </c>
      <c r="AS163" s="26" t="s">
        <v>631</v>
      </c>
      <c r="AT163" s="26">
        <f>+AU163/3.81234866330385</f>
        <v>-4864.9800000000096</v>
      </c>
      <c r="AU163" s="26">
        <v>-18547</v>
      </c>
      <c r="AV163" s="26" t="s">
        <v>630</v>
      </c>
      <c r="BA163" s="26"/>
      <c r="BB163" s="26"/>
      <c r="CS163" s="26">
        <f t="shared" si="16"/>
        <v>-1.0004441719502211E-11</v>
      </c>
      <c r="CT163" s="26">
        <f t="shared" si="17"/>
        <v>0</v>
      </c>
      <c r="CU163" s="26">
        <f t="shared" si="18"/>
        <v>-1.0004441719502211E-11</v>
      </c>
      <c r="CV163" s="128">
        <f t="shared" si="19"/>
        <v>4864.9800000000096</v>
      </c>
    </row>
    <row r="164" spans="1:103" x14ac:dyDescent="0.2">
      <c r="A164" s="7" t="s">
        <v>618</v>
      </c>
      <c r="B164" s="1">
        <v>93</v>
      </c>
      <c r="C164" s="2" t="s">
        <v>36</v>
      </c>
      <c r="D164" s="2" t="s">
        <v>37</v>
      </c>
      <c r="E164" s="1"/>
      <c r="F164" s="1"/>
      <c r="G164" s="1" t="s">
        <v>23</v>
      </c>
      <c r="H164" s="1">
        <v>2</v>
      </c>
      <c r="I164" s="18">
        <v>97.54</v>
      </c>
      <c r="J164" s="18">
        <v>43351</v>
      </c>
      <c r="K164" s="2">
        <v>0</v>
      </c>
      <c r="L164" s="2" t="s">
        <v>3</v>
      </c>
      <c r="M164" s="8" t="s">
        <v>0</v>
      </c>
      <c r="N164" s="8">
        <v>48495734</v>
      </c>
      <c r="O164" s="7" t="s">
        <v>619</v>
      </c>
      <c r="S164" s="7" t="s">
        <v>96</v>
      </c>
      <c r="T164" s="8" t="s">
        <v>23</v>
      </c>
      <c r="U164" s="85" t="s">
        <v>620</v>
      </c>
      <c r="V164" s="8">
        <v>97.54</v>
      </c>
      <c r="W164" s="8" t="s">
        <v>196</v>
      </c>
      <c r="X164" s="15">
        <v>45735</v>
      </c>
      <c r="Y164" s="15">
        <v>45737</v>
      </c>
      <c r="Z164" s="17" t="s">
        <v>201</v>
      </c>
      <c r="AA164" s="120">
        <v>41000</v>
      </c>
      <c r="AB164" s="7">
        <v>84</v>
      </c>
      <c r="AC164" s="7">
        <v>1</v>
      </c>
      <c r="AD164" s="15">
        <v>45772</v>
      </c>
      <c r="AE164" s="50">
        <v>11900</v>
      </c>
      <c r="AF164" s="50"/>
      <c r="AG164" s="7" t="s">
        <v>195</v>
      </c>
      <c r="AH164" s="15">
        <v>45772</v>
      </c>
      <c r="AI164" s="7">
        <v>10484957342</v>
      </c>
      <c r="AJ164" s="7" t="s">
        <v>629</v>
      </c>
      <c r="AK164" s="7" t="s">
        <v>623</v>
      </c>
      <c r="AL164" s="20">
        <v>11900</v>
      </c>
      <c r="AM164" s="20"/>
      <c r="AN164" s="20" t="s">
        <v>627</v>
      </c>
      <c r="AO164" s="20"/>
      <c r="AP164" s="20"/>
      <c r="AQ164" s="20"/>
      <c r="AR164" s="20"/>
      <c r="AS164" s="20"/>
      <c r="AT164" s="20"/>
      <c r="AU164" s="20"/>
      <c r="AV164" s="20"/>
      <c r="AW164" s="15">
        <v>45772</v>
      </c>
      <c r="AX164" s="7">
        <v>4054</v>
      </c>
      <c r="BA164" s="20">
        <v>11900</v>
      </c>
      <c r="BB164" s="20"/>
      <c r="BD164" s="7"/>
      <c r="CS164" s="9">
        <f t="shared" si="16"/>
        <v>11900</v>
      </c>
      <c r="CT164" s="20">
        <f t="shared" si="17"/>
        <v>11900</v>
      </c>
      <c r="CU164" s="20">
        <f t="shared" si="18"/>
        <v>0</v>
      </c>
      <c r="CV164" s="24">
        <f t="shared" si="19"/>
        <v>0</v>
      </c>
    </row>
    <row r="165" spans="1:103" x14ac:dyDescent="0.2">
      <c r="A165" s="7" t="s">
        <v>618</v>
      </c>
      <c r="B165" s="1">
        <v>93</v>
      </c>
      <c r="C165" s="2" t="s">
        <v>36</v>
      </c>
      <c r="D165" s="2" t="s">
        <v>37</v>
      </c>
      <c r="E165" s="1"/>
      <c r="F165" s="1"/>
      <c r="G165" s="1" t="s">
        <v>23</v>
      </c>
      <c r="H165" s="1">
        <v>2</v>
      </c>
      <c r="I165" s="18">
        <v>97.54</v>
      </c>
      <c r="J165" s="18">
        <v>43351</v>
      </c>
      <c r="K165" s="2">
        <v>0</v>
      </c>
      <c r="L165" s="2" t="s">
        <v>3</v>
      </c>
      <c r="M165" s="8" t="s">
        <v>0</v>
      </c>
      <c r="N165" s="8">
        <v>48495734</v>
      </c>
      <c r="O165" s="7" t="s">
        <v>619</v>
      </c>
      <c r="S165" s="7" t="s">
        <v>96</v>
      </c>
      <c r="T165" s="8" t="s">
        <v>23</v>
      </c>
      <c r="U165" s="85" t="s">
        <v>620</v>
      </c>
      <c r="V165" s="8">
        <v>97.54</v>
      </c>
      <c r="W165" s="8" t="s">
        <v>196</v>
      </c>
      <c r="X165" s="15">
        <v>45735</v>
      </c>
      <c r="Y165" s="15">
        <v>45737</v>
      </c>
      <c r="Z165" s="17" t="s">
        <v>201</v>
      </c>
      <c r="AA165" s="120">
        <v>41000</v>
      </c>
      <c r="AB165" s="7">
        <v>84</v>
      </c>
      <c r="AC165" s="7">
        <v>2</v>
      </c>
      <c r="AD165" s="15">
        <v>45901</v>
      </c>
      <c r="AE165" s="50">
        <v>3000</v>
      </c>
      <c r="AF165" s="50"/>
      <c r="AG165" s="104" t="s">
        <v>195</v>
      </c>
      <c r="AH165" s="15">
        <v>45901</v>
      </c>
      <c r="AI165" s="7">
        <v>10484957342</v>
      </c>
      <c r="AJ165" s="7" t="s">
        <v>629</v>
      </c>
      <c r="AK165" s="7" t="s">
        <v>624</v>
      </c>
      <c r="AL165" s="20">
        <v>3000</v>
      </c>
      <c r="AM165" s="20"/>
      <c r="AN165" s="20" t="s">
        <v>628</v>
      </c>
      <c r="AO165" s="20"/>
      <c r="AP165" s="20"/>
      <c r="AQ165" s="20"/>
      <c r="AR165" s="20"/>
      <c r="AS165" s="20"/>
      <c r="AT165" s="20"/>
      <c r="AU165" s="20"/>
      <c r="AV165" s="20"/>
      <c r="AW165" s="15">
        <v>45901</v>
      </c>
      <c r="AX165" s="7">
        <v>4642</v>
      </c>
      <c r="BA165" s="20">
        <v>3000</v>
      </c>
      <c r="BB165" s="20"/>
      <c r="BD165" s="7"/>
      <c r="CS165" s="9">
        <f t="shared" si="16"/>
        <v>3000</v>
      </c>
      <c r="CT165" s="20">
        <f t="shared" si="17"/>
        <v>3000</v>
      </c>
      <c r="CU165" s="20">
        <f t="shared" si="18"/>
        <v>0</v>
      </c>
      <c r="CV165" s="24">
        <f t="shared" si="19"/>
        <v>0</v>
      </c>
    </row>
    <row r="166" spans="1:103" x14ac:dyDescent="0.2">
      <c r="A166" s="7" t="s">
        <v>618</v>
      </c>
      <c r="B166" s="1">
        <v>93</v>
      </c>
      <c r="C166" s="2" t="s">
        <v>36</v>
      </c>
      <c r="D166" s="2" t="s">
        <v>37</v>
      </c>
      <c r="E166" s="1"/>
      <c r="F166" s="1"/>
      <c r="G166" s="1" t="s">
        <v>23</v>
      </c>
      <c r="H166" s="1">
        <v>2</v>
      </c>
      <c r="I166" s="18">
        <v>97.54</v>
      </c>
      <c r="J166" s="18">
        <v>43351</v>
      </c>
      <c r="K166" s="2">
        <v>0</v>
      </c>
      <c r="L166" s="2" t="s">
        <v>3</v>
      </c>
      <c r="M166" s="8" t="s">
        <v>0</v>
      </c>
      <c r="N166" s="8">
        <v>48495734</v>
      </c>
      <c r="O166" s="7" t="s">
        <v>619</v>
      </c>
      <c r="S166" s="7" t="s">
        <v>96</v>
      </c>
      <c r="T166" s="8" t="s">
        <v>23</v>
      </c>
      <c r="U166" s="85" t="s">
        <v>620</v>
      </c>
      <c r="V166" s="8">
        <v>97.54</v>
      </c>
      <c r="W166" s="8" t="s">
        <v>196</v>
      </c>
      <c r="X166" s="15">
        <v>45735</v>
      </c>
      <c r="Y166" s="15">
        <v>45737</v>
      </c>
      <c r="Z166" s="17" t="s">
        <v>201</v>
      </c>
      <c r="AA166" s="120">
        <v>41000</v>
      </c>
      <c r="AB166" s="7">
        <v>84</v>
      </c>
      <c r="AC166" s="7">
        <v>3</v>
      </c>
      <c r="AD166" s="15">
        <v>45975</v>
      </c>
      <c r="AE166" s="50">
        <v>8000</v>
      </c>
      <c r="AF166" s="50"/>
      <c r="AG166" s="104" t="s">
        <v>195</v>
      </c>
      <c r="AH166" s="15">
        <v>45975</v>
      </c>
      <c r="AI166" s="7">
        <v>10484957342</v>
      </c>
      <c r="AJ166" s="7" t="s">
        <v>629</v>
      </c>
      <c r="AK166" s="7" t="s">
        <v>672</v>
      </c>
      <c r="AL166" s="20">
        <v>8000</v>
      </c>
      <c r="AM166" s="20"/>
      <c r="AN166" s="20" t="s">
        <v>673</v>
      </c>
      <c r="AO166" s="20"/>
      <c r="AP166" s="20"/>
      <c r="AQ166" s="20"/>
      <c r="AR166" s="20"/>
      <c r="AS166" s="20"/>
      <c r="AT166" s="20"/>
      <c r="AU166" s="20"/>
      <c r="AV166" s="20"/>
      <c r="AW166" s="15">
        <v>45973</v>
      </c>
      <c r="AX166" s="7">
        <v>5101</v>
      </c>
      <c r="BA166" s="20">
        <v>5100</v>
      </c>
      <c r="BB166" s="20"/>
      <c r="BC166" s="15">
        <v>45973</v>
      </c>
      <c r="BD166" s="7">
        <v>5103</v>
      </c>
      <c r="BG166" s="7">
        <v>900</v>
      </c>
      <c r="BI166" s="15">
        <v>45973</v>
      </c>
      <c r="BJ166" s="7">
        <v>5103</v>
      </c>
      <c r="BM166" s="7">
        <v>900</v>
      </c>
      <c r="BO166" s="15">
        <v>45973</v>
      </c>
      <c r="BP166" s="7">
        <v>5105</v>
      </c>
      <c r="BS166" s="7">
        <v>100</v>
      </c>
      <c r="BU166" s="15">
        <v>45974</v>
      </c>
      <c r="BV166" s="7">
        <v>5105</v>
      </c>
      <c r="BY166" s="77">
        <v>1000</v>
      </c>
      <c r="CS166" s="9">
        <f t="shared" si="16"/>
        <v>8000</v>
      </c>
      <c r="CT166" s="20">
        <f t="shared" si="17"/>
        <v>8000</v>
      </c>
      <c r="CU166" s="20">
        <f t="shared" si="18"/>
        <v>0</v>
      </c>
      <c r="CV166" s="24">
        <f t="shared" si="19"/>
        <v>0</v>
      </c>
    </row>
    <row r="167" spans="1:103" x14ac:dyDescent="0.2">
      <c r="A167" s="7" t="s">
        <v>618</v>
      </c>
      <c r="B167" s="1">
        <v>93</v>
      </c>
      <c r="C167" s="2" t="s">
        <v>36</v>
      </c>
      <c r="D167" s="2" t="s">
        <v>37</v>
      </c>
      <c r="E167" s="1"/>
      <c r="F167" s="1"/>
      <c r="G167" s="1" t="s">
        <v>23</v>
      </c>
      <c r="H167" s="1">
        <v>2</v>
      </c>
      <c r="I167" s="18">
        <v>97.54</v>
      </c>
      <c r="J167" s="18">
        <v>43351</v>
      </c>
      <c r="K167" s="2">
        <v>0</v>
      </c>
      <c r="L167" s="2" t="s">
        <v>3</v>
      </c>
      <c r="M167" s="8" t="s">
        <v>0</v>
      </c>
      <c r="N167" s="8">
        <v>48495734</v>
      </c>
      <c r="O167" s="7" t="s">
        <v>619</v>
      </c>
      <c r="S167" s="7" t="s">
        <v>96</v>
      </c>
      <c r="T167" s="8" t="s">
        <v>23</v>
      </c>
      <c r="U167" s="85" t="s">
        <v>620</v>
      </c>
      <c r="V167" s="8">
        <v>97.54</v>
      </c>
      <c r="W167" s="8" t="s">
        <v>196</v>
      </c>
      <c r="X167" s="15">
        <v>45735</v>
      </c>
      <c r="Y167" s="15">
        <v>45737</v>
      </c>
      <c r="Z167" s="17" t="s">
        <v>201</v>
      </c>
      <c r="AA167" s="120">
        <v>41000</v>
      </c>
      <c r="AB167" s="7">
        <v>84</v>
      </c>
      <c r="AC167" s="7">
        <v>4</v>
      </c>
      <c r="AD167" s="15">
        <v>46021</v>
      </c>
      <c r="AE167" s="50">
        <v>10100</v>
      </c>
      <c r="AF167" s="5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7"/>
      <c r="BA167" s="20"/>
      <c r="BB167" s="20"/>
      <c r="BD167" s="7"/>
      <c r="CS167" s="9">
        <f t="shared" si="16"/>
        <v>0</v>
      </c>
      <c r="CT167" s="20">
        <f t="shared" si="17"/>
        <v>0</v>
      </c>
      <c r="CU167" s="20">
        <f t="shared" si="18"/>
        <v>0</v>
      </c>
      <c r="CV167" s="24">
        <f t="shared" si="19"/>
        <v>10100</v>
      </c>
    </row>
    <row r="168" spans="1:103" x14ac:dyDescent="0.2">
      <c r="A168" s="7" t="s">
        <v>763</v>
      </c>
      <c r="B168" s="1">
        <v>149</v>
      </c>
      <c r="C168" s="2" t="s">
        <v>36</v>
      </c>
      <c r="D168" s="2" t="s">
        <v>37</v>
      </c>
      <c r="E168" s="1"/>
      <c r="F168" s="1"/>
      <c r="G168" s="1" t="s">
        <v>28</v>
      </c>
      <c r="H168" s="1">
        <v>5</v>
      </c>
      <c r="I168" s="18">
        <v>134.61000000000001</v>
      </c>
      <c r="J168" s="18">
        <v>41900</v>
      </c>
      <c r="K168" s="2">
        <v>0</v>
      </c>
      <c r="L168" s="2" t="s">
        <v>3</v>
      </c>
      <c r="M168" s="7" t="s">
        <v>0</v>
      </c>
      <c r="N168" s="7" t="s">
        <v>7</v>
      </c>
      <c r="O168" s="7" t="s">
        <v>674</v>
      </c>
      <c r="S168" s="7" t="s">
        <v>96</v>
      </c>
      <c r="T168" s="8" t="s">
        <v>28</v>
      </c>
      <c r="U168" s="8">
        <v>5</v>
      </c>
      <c r="V168" s="8">
        <v>134.56</v>
      </c>
      <c r="W168" s="8" t="s">
        <v>196</v>
      </c>
      <c r="X168" s="15">
        <v>44794</v>
      </c>
      <c r="Y168" s="15">
        <v>45161</v>
      </c>
      <c r="Z168" s="17" t="s">
        <v>201</v>
      </c>
      <c r="AA168" s="118">
        <v>35952</v>
      </c>
      <c r="AB168" s="7">
        <v>40</v>
      </c>
      <c r="AC168" s="7">
        <v>0</v>
      </c>
      <c r="AD168" s="15">
        <v>44794</v>
      </c>
      <c r="AE168" s="50">
        <v>25.97</v>
      </c>
      <c r="AF168" s="50"/>
      <c r="AG168" s="7" t="s">
        <v>72</v>
      </c>
      <c r="AH168" s="15">
        <v>44794</v>
      </c>
      <c r="AI168" s="7">
        <v>10228642</v>
      </c>
      <c r="AJ168" s="7" t="s">
        <v>677</v>
      </c>
      <c r="AK168" s="7" t="s">
        <v>675</v>
      </c>
      <c r="AL168" s="20">
        <v>25.97</v>
      </c>
      <c r="AM168" s="20"/>
      <c r="AN168" s="20" t="s">
        <v>678</v>
      </c>
      <c r="AO168" s="20"/>
      <c r="AP168" s="20"/>
      <c r="AQ168" s="20"/>
      <c r="AR168" s="20"/>
      <c r="AS168" s="20"/>
      <c r="AT168" s="20"/>
      <c r="AU168" s="20"/>
      <c r="AV168" s="20"/>
      <c r="AW168" s="16">
        <v>44795</v>
      </c>
      <c r="AX168" s="7">
        <v>15367</v>
      </c>
      <c r="AY168" s="7">
        <v>100</v>
      </c>
      <c r="AZ168" s="7">
        <v>3.8570000000000002</v>
      </c>
      <c r="BA168" s="20">
        <f>+AY168/AZ168</f>
        <v>25.926886180969664</v>
      </c>
      <c r="BB168" s="20"/>
      <c r="BD168" s="7"/>
      <c r="CS168" s="9">
        <f t="shared" si="16"/>
        <v>25.97</v>
      </c>
      <c r="CT168" s="20">
        <f t="shared" si="17"/>
        <v>25.926886180969664</v>
      </c>
      <c r="CU168" s="20">
        <f t="shared" si="18"/>
        <v>4.3113819030335065E-2</v>
      </c>
      <c r="CV168" s="24">
        <f t="shared" si="19"/>
        <v>0</v>
      </c>
    </row>
    <row r="169" spans="1:103" ht="12.75" x14ac:dyDescent="0.2">
      <c r="A169" s="7" t="s">
        <v>763</v>
      </c>
      <c r="B169" s="1">
        <v>149</v>
      </c>
      <c r="C169" s="2" t="s">
        <v>36</v>
      </c>
      <c r="D169" s="2" t="s">
        <v>37</v>
      </c>
      <c r="E169" s="1"/>
      <c r="F169" s="1"/>
      <c r="G169" s="1" t="s">
        <v>28</v>
      </c>
      <c r="H169" s="1">
        <v>5</v>
      </c>
      <c r="I169" s="18">
        <v>134.61000000000001</v>
      </c>
      <c r="J169" s="18">
        <v>41900</v>
      </c>
      <c r="K169" s="2">
        <v>0</v>
      </c>
      <c r="L169" s="2" t="s">
        <v>3</v>
      </c>
      <c r="M169" s="7" t="s">
        <v>0</v>
      </c>
      <c r="N169" s="7" t="s">
        <v>7</v>
      </c>
      <c r="O169" s="7" t="s">
        <v>674</v>
      </c>
      <c r="S169" s="7" t="s">
        <v>96</v>
      </c>
      <c r="T169" s="8" t="s">
        <v>28</v>
      </c>
      <c r="U169" s="8">
        <v>5</v>
      </c>
      <c r="V169" s="8">
        <v>134.56</v>
      </c>
      <c r="W169" s="8" t="s">
        <v>196</v>
      </c>
      <c r="X169" s="15">
        <v>44794</v>
      </c>
      <c r="Y169" s="15">
        <v>45161</v>
      </c>
      <c r="Z169" s="17" t="s">
        <v>201</v>
      </c>
      <c r="AA169" s="118">
        <v>35952</v>
      </c>
      <c r="AB169" s="7">
        <v>40</v>
      </c>
      <c r="AC169" s="7">
        <v>0</v>
      </c>
      <c r="AD169" s="15">
        <v>44802</v>
      </c>
      <c r="AE169" s="50">
        <v>3974.03</v>
      </c>
      <c r="AF169" s="50"/>
      <c r="AG169" s="7" t="s">
        <v>72</v>
      </c>
      <c r="AH169" s="15">
        <v>44802</v>
      </c>
      <c r="AI169" s="7">
        <v>10228642</v>
      </c>
      <c r="AJ169" s="7" t="s">
        <v>677</v>
      </c>
      <c r="AK169" s="7" t="s">
        <v>676</v>
      </c>
      <c r="AL169" s="20">
        <v>3974.08</v>
      </c>
      <c r="AM169" s="20"/>
      <c r="AN169" s="20" t="s">
        <v>679</v>
      </c>
      <c r="AO169" s="20"/>
      <c r="AP169" s="20"/>
      <c r="AQ169" s="20"/>
      <c r="AR169" s="20"/>
      <c r="AS169" s="20"/>
      <c r="AT169" s="20"/>
      <c r="AU169" s="20"/>
      <c r="AV169" s="20"/>
      <c r="AW169" s="16">
        <v>44804</v>
      </c>
      <c r="AX169" s="7">
        <v>15635</v>
      </c>
      <c r="AY169" s="77">
        <v>14100</v>
      </c>
      <c r="AZ169" s="7">
        <v>3.847</v>
      </c>
      <c r="BA169" s="20">
        <f>+AY169/AZ169</f>
        <v>3665.1936573953731</v>
      </c>
      <c r="BB169" s="20"/>
      <c r="BC169" s="15">
        <v>44802</v>
      </c>
      <c r="BD169" s="7">
        <v>15602</v>
      </c>
      <c r="BE169" s="108">
        <v>1000</v>
      </c>
      <c r="BF169" s="7">
        <v>3.847</v>
      </c>
      <c r="BG169" s="20">
        <f>+BE169/BF169</f>
        <v>259.94281258123215</v>
      </c>
      <c r="BI169" s="15">
        <v>44802</v>
      </c>
      <c r="BJ169" s="7">
        <v>15607</v>
      </c>
      <c r="BK169" s="7">
        <v>188.3</v>
      </c>
      <c r="BL169" s="7">
        <v>3.847</v>
      </c>
      <c r="BM169" s="20">
        <f>+BK169/BL169</f>
        <v>48.947231609046014</v>
      </c>
      <c r="CS169" s="9">
        <f t="shared" si="16"/>
        <v>3974.08</v>
      </c>
      <c r="CT169" s="20">
        <f t="shared" si="17"/>
        <v>3974.0837015856514</v>
      </c>
      <c r="CU169" s="20">
        <f t="shared" si="18"/>
        <v>-3.7015856514699408E-3</v>
      </c>
      <c r="CV169" s="24">
        <f t="shared" si="19"/>
        <v>-4.9999999999727152E-2</v>
      </c>
    </row>
    <row r="170" spans="1:103" x14ac:dyDescent="0.2">
      <c r="A170" s="7" t="s">
        <v>763</v>
      </c>
      <c r="B170" s="1">
        <v>149</v>
      </c>
      <c r="C170" s="2" t="s">
        <v>36</v>
      </c>
      <c r="D170" s="2" t="s">
        <v>37</v>
      </c>
      <c r="E170" s="1"/>
      <c r="F170" s="1"/>
      <c r="G170" s="1" t="s">
        <v>28</v>
      </c>
      <c r="H170" s="1">
        <v>5</v>
      </c>
      <c r="I170" s="18">
        <v>134.61000000000001</v>
      </c>
      <c r="J170" s="18">
        <v>41900</v>
      </c>
      <c r="K170" s="2">
        <v>0</v>
      </c>
      <c r="L170" s="2" t="s">
        <v>3</v>
      </c>
      <c r="M170" s="7" t="s">
        <v>0</v>
      </c>
      <c r="N170" s="7" t="s">
        <v>7</v>
      </c>
      <c r="O170" s="7" t="s">
        <v>674</v>
      </c>
      <c r="S170" s="7" t="s">
        <v>96</v>
      </c>
      <c r="T170" s="8" t="s">
        <v>28</v>
      </c>
      <c r="U170" s="8">
        <v>5</v>
      </c>
      <c r="V170" s="8">
        <v>134.56</v>
      </c>
      <c r="W170" s="8" t="s">
        <v>196</v>
      </c>
      <c r="X170" s="15">
        <v>44794</v>
      </c>
      <c r="Y170" s="15">
        <v>45161</v>
      </c>
      <c r="Z170" s="17" t="s">
        <v>201</v>
      </c>
      <c r="AA170" s="118">
        <v>35952</v>
      </c>
      <c r="AB170" s="7">
        <v>40</v>
      </c>
      <c r="AC170" s="7">
        <v>1</v>
      </c>
      <c r="AD170" s="15">
        <v>44925</v>
      </c>
      <c r="AE170" s="50">
        <v>840.8</v>
      </c>
      <c r="AF170" s="50"/>
      <c r="AG170" s="7" t="s">
        <v>72</v>
      </c>
      <c r="AH170" s="15">
        <v>44931</v>
      </c>
      <c r="AI170" s="7">
        <v>10228642</v>
      </c>
      <c r="AJ170" s="7" t="s">
        <v>677</v>
      </c>
      <c r="AK170" s="7" t="s">
        <v>721</v>
      </c>
      <c r="AL170" s="20">
        <v>840.8</v>
      </c>
      <c r="AM170" s="20"/>
      <c r="AN170" s="20" t="s">
        <v>680</v>
      </c>
      <c r="AO170" s="20"/>
      <c r="AP170" s="20"/>
      <c r="AQ170" s="20"/>
      <c r="AR170" s="20"/>
      <c r="AS170" s="20"/>
      <c r="AT170" s="20"/>
      <c r="AU170" s="20"/>
      <c r="AV170" s="20"/>
      <c r="AW170" s="16">
        <v>44932</v>
      </c>
      <c r="AX170" s="7">
        <v>1139</v>
      </c>
      <c r="BA170" s="20">
        <v>841</v>
      </c>
      <c r="BB170" s="20"/>
      <c r="BD170" s="7"/>
      <c r="CS170" s="9">
        <f t="shared" si="16"/>
        <v>840.8</v>
      </c>
      <c r="CT170" s="20">
        <f t="shared" si="17"/>
        <v>841</v>
      </c>
      <c r="CU170" s="20">
        <f t="shared" si="18"/>
        <v>-0.20000000000004547</v>
      </c>
      <c r="CV170" s="24">
        <f t="shared" si="19"/>
        <v>0</v>
      </c>
    </row>
    <row r="171" spans="1:103" x14ac:dyDescent="0.2">
      <c r="A171" s="7" t="s">
        <v>763</v>
      </c>
      <c r="B171" s="1">
        <v>149</v>
      </c>
      <c r="C171" s="2" t="s">
        <v>36</v>
      </c>
      <c r="D171" s="2" t="s">
        <v>37</v>
      </c>
      <c r="E171" s="1"/>
      <c r="F171" s="1"/>
      <c r="G171" s="1" t="s">
        <v>28</v>
      </c>
      <c r="H171" s="1">
        <v>5</v>
      </c>
      <c r="I171" s="18">
        <v>134.61000000000001</v>
      </c>
      <c r="J171" s="18">
        <v>41900</v>
      </c>
      <c r="K171" s="2">
        <v>0</v>
      </c>
      <c r="L171" s="2" t="s">
        <v>3</v>
      </c>
      <c r="M171" s="7" t="s">
        <v>0</v>
      </c>
      <c r="N171" s="7" t="s">
        <v>7</v>
      </c>
      <c r="O171" s="7" t="s">
        <v>674</v>
      </c>
      <c r="S171" s="7" t="s">
        <v>96</v>
      </c>
      <c r="T171" s="8" t="s">
        <v>28</v>
      </c>
      <c r="U171" s="8">
        <v>5</v>
      </c>
      <c r="V171" s="8">
        <v>134.56</v>
      </c>
      <c r="W171" s="8" t="s">
        <v>196</v>
      </c>
      <c r="X171" s="15">
        <v>44794</v>
      </c>
      <c r="Y171" s="15">
        <v>45161</v>
      </c>
      <c r="Z171" s="17" t="s">
        <v>201</v>
      </c>
      <c r="AA171" s="118">
        <v>35952</v>
      </c>
      <c r="AB171" s="7">
        <v>40</v>
      </c>
      <c r="AC171" s="7">
        <v>2</v>
      </c>
      <c r="AD171" s="15">
        <v>44956</v>
      </c>
      <c r="AE171" s="50">
        <v>888.89</v>
      </c>
      <c r="AF171" s="50"/>
      <c r="AG171" s="7" t="s">
        <v>72</v>
      </c>
      <c r="AH171" s="15">
        <v>44993</v>
      </c>
      <c r="AI171" s="7">
        <v>10228642</v>
      </c>
      <c r="AJ171" s="7" t="s">
        <v>677</v>
      </c>
      <c r="AK171" s="7" t="s">
        <v>722</v>
      </c>
      <c r="AL171" s="20">
        <v>888.89</v>
      </c>
      <c r="AM171" s="20"/>
      <c r="AN171" s="20" t="s">
        <v>682</v>
      </c>
      <c r="AO171" s="20"/>
      <c r="AP171" s="20"/>
      <c r="AQ171" s="20"/>
      <c r="AR171" s="20"/>
      <c r="AS171" s="20"/>
      <c r="AT171" s="20"/>
      <c r="AU171" s="20"/>
      <c r="AV171" s="20"/>
      <c r="AW171" s="16">
        <v>44989</v>
      </c>
      <c r="AX171" s="8" t="s">
        <v>764</v>
      </c>
      <c r="AY171" s="20">
        <f>+BA171*AZ171</f>
        <v>3360.0041999999999</v>
      </c>
      <c r="AZ171" s="7">
        <v>3.78</v>
      </c>
      <c r="BA171" s="20">
        <v>888.89</v>
      </c>
      <c r="BB171" s="20"/>
      <c r="BD171" s="7"/>
      <c r="CS171" s="9">
        <f t="shared" si="16"/>
        <v>888.89</v>
      </c>
      <c r="CT171" s="20">
        <f t="shared" si="17"/>
        <v>888.89</v>
      </c>
      <c r="CU171" s="20">
        <f t="shared" si="18"/>
        <v>0</v>
      </c>
      <c r="CV171" s="24">
        <f t="shared" si="19"/>
        <v>0</v>
      </c>
    </row>
    <row r="172" spans="1:103" x14ac:dyDescent="0.2">
      <c r="A172" s="7" t="s">
        <v>763</v>
      </c>
      <c r="B172" s="1">
        <v>149</v>
      </c>
      <c r="C172" s="2" t="s">
        <v>36</v>
      </c>
      <c r="D172" s="2" t="s">
        <v>37</v>
      </c>
      <c r="E172" s="1"/>
      <c r="F172" s="1"/>
      <c r="G172" s="1" t="s">
        <v>28</v>
      </c>
      <c r="H172" s="1">
        <v>5</v>
      </c>
      <c r="I172" s="18">
        <v>134.61000000000001</v>
      </c>
      <c r="J172" s="18">
        <v>41900</v>
      </c>
      <c r="K172" s="2">
        <v>0</v>
      </c>
      <c r="L172" s="2" t="s">
        <v>3</v>
      </c>
      <c r="M172" s="7" t="s">
        <v>0</v>
      </c>
      <c r="N172" s="7" t="s">
        <v>7</v>
      </c>
      <c r="O172" s="7" t="s">
        <v>674</v>
      </c>
      <c r="S172" s="7" t="s">
        <v>96</v>
      </c>
      <c r="T172" s="8" t="s">
        <v>28</v>
      </c>
      <c r="U172" s="8">
        <v>5</v>
      </c>
      <c r="V172" s="8">
        <v>134.56</v>
      </c>
      <c r="W172" s="8" t="s">
        <v>196</v>
      </c>
      <c r="X172" s="15">
        <v>44794</v>
      </c>
      <c r="Y172" s="15">
        <v>45161</v>
      </c>
      <c r="Z172" s="17" t="s">
        <v>201</v>
      </c>
      <c r="AA172" s="118">
        <v>35952</v>
      </c>
      <c r="AB172" s="7">
        <v>40</v>
      </c>
      <c r="AC172" s="7">
        <v>3</v>
      </c>
      <c r="AD172" s="15">
        <v>44985</v>
      </c>
      <c r="AE172" s="50">
        <v>888.89</v>
      </c>
      <c r="AF172" s="50"/>
      <c r="AG172" s="7" t="s">
        <v>72</v>
      </c>
      <c r="AH172" s="15">
        <v>44993</v>
      </c>
      <c r="AI172" s="7">
        <v>10228642</v>
      </c>
      <c r="AJ172" s="7" t="s">
        <v>677</v>
      </c>
      <c r="AK172" s="7" t="s">
        <v>723</v>
      </c>
      <c r="AL172" s="20">
        <v>888.89</v>
      </c>
      <c r="AM172" s="20"/>
      <c r="AN172" s="20" t="s">
        <v>683</v>
      </c>
      <c r="AO172" s="20"/>
      <c r="AP172" s="20"/>
      <c r="AQ172" s="20"/>
      <c r="AR172" s="20"/>
      <c r="AS172" s="20"/>
      <c r="AT172" s="20"/>
      <c r="AU172" s="20"/>
      <c r="AV172" s="20"/>
      <c r="AW172" s="16">
        <v>44989</v>
      </c>
      <c r="AX172" s="8" t="s">
        <v>764</v>
      </c>
      <c r="AY172" s="20">
        <f>+BA172*AZ172</f>
        <v>3360.0041999999999</v>
      </c>
      <c r="AZ172" s="7">
        <v>3.78</v>
      </c>
      <c r="BA172" s="20">
        <v>888.89</v>
      </c>
      <c r="BB172" s="20"/>
      <c r="BD172" s="7"/>
      <c r="CS172" s="9">
        <f t="shared" si="16"/>
        <v>888.89</v>
      </c>
      <c r="CT172" s="20">
        <f t="shared" si="17"/>
        <v>888.89</v>
      </c>
      <c r="CU172" s="20">
        <f t="shared" si="18"/>
        <v>0</v>
      </c>
      <c r="CV172" s="24">
        <f t="shared" si="19"/>
        <v>0</v>
      </c>
    </row>
    <row r="173" spans="1:103" x14ac:dyDescent="0.2">
      <c r="A173" s="7" t="s">
        <v>763</v>
      </c>
      <c r="B173" s="1">
        <v>149</v>
      </c>
      <c r="C173" s="2" t="s">
        <v>36</v>
      </c>
      <c r="D173" s="2" t="s">
        <v>37</v>
      </c>
      <c r="E173" s="1"/>
      <c r="F173" s="1"/>
      <c r="G173" s="1" t="s">
        <v>28</v>
      </c>
      <c r="H173" s="1">
        <v>5</v>
      </c>
      <c r="I173" s="18">
        <v>134.61000000000001</v>
      </c>
      <c r="J173" s="18">
        <v>41900</v>
      </c>
      <c r="K173" s="2">
        <v>0</v>
      </c>
      <c r="L173" s="2" t="s">
        <v>3</v>
      </c>
      <c r="M173" s="7" t="s">
        <v>0</v>
      </c>
      <c r="N173" s="7" t="s">
        <v>7</v>
      </c>
      <c r="O173" s="7" t="s">
        <v>674</v>
      </c>
      <c r="S173" s="7" t="s">
        <v>96</v>
      </c>
      <c r="T173" s="8" t="s">
        <v>28</v>
      </c>
      <c r="U173" s="8">
        <v>5</v>
      </c>
      <c r="V173" s="8">
        <v>134.56</v>
      </c>
      <c r="W173" s="8" t="s">
        <v>196</v>
      </c>
      <c r="X173" s="15">
        <v>44794</v>
      </c>
      <c r="Y173" s="15">
        <v>45161</v>
      </c>
      <c r="Z173" s="17" t="s">
        <v>201</v>
      </c>
      <c r="AA173" s="118">
        <v>35952</v>
      </c>
      <c r="AB173" s="7">
        <v>40</v>
      </c>
      <c r="AC173" s="7">
        <v>4</v>
      </c>
      <c r="AD173" s="15">
        <v>45015</v>
      </c>
      <c r="AE173" s="50">
        <v>888.89</v>
      </c>
      <c r="AF173" s="50"/>
      <c r="AG173" s="7" t="s">
        <v>72</v>
      </c>
      <c r="AH173" s="15">
        <v>45050</v>
      </c>
      <c r="AI173" s="7">
        <v>10228642</v>
      </c>
      <c r="AJ173" s="7" t="s">
        <v>677</v>
      </c>
      <c r="AK173" s="7" t="s">
        <v>724</v>
      </c>
      <c r="AL173" s="20">
        <v>888.89</v>
      </c>
      <c r="AM173" s="20"/>
      <c r="AN173" s="20" t="s">
        <v>686</v>
      </c>
      <c r="AO173" s="20"/>
      <c r="AP173" s="20"/>
      <c r="AQ173" s="20"/>
      <c r="AR173" s="20"/>
      <c r="AS173" s="20"/>
      <c r="AT173" s="20"/>
      <c r="AU173" s="20"/>
      <c r="AV173" s="20"/>
      <c r="AW173" s="16">
        <v>45048</v>
      </c>
      <c r="AX173" s="7">
        <v>1453</v>
      </c>
      <c r="AY173" s="20"/>
      <c r="BA173" s="20">
        <v>783.3</v>
      </c>
      <c r="BB173" s="20"/>
      <c r="BD173" s="7"/>
      <c r="CS173" s="9">
        <f t="shared" si="16"/>
        <v>888.89</v>
      </c>
      <c r="CT173" s="20">
        <f t="shared" si="17"/>
        <v>783.3</v>
      </c>
      <c r="CU173" s="20">
        <f t="shared" si="18"/>
        <v>105.59000000000003</v>
      </c>
      <c r="CV173" s="24">
        <f t="shared" si="19"/>
        <v>0</v>
      </c>
      <c r="CW173" s="7" t="s">
        <v>874</v>
      </c>
      <c r="CY173" s="7" t="s">
        <v>873</v>
      </c>
    </row>
    <row r="174" spans="1:103" x14ac:dyDescent="0.2">
      <c r="A174" s="7" t="s">
        <v>763</v>
      </c>
      <c r="B174" s="1">
        <v>149</v>
      </c>
      <c r="C174" s="2" t="s">
        <v>36</v>
      </c>
      <c r="D174" s="2" t="s">
        <v>37</v>
      </c>
      <c r="E174" s="1"/>
      <c r="F174" s="1"/>
      <c r="G174" s="1" t="s">
        <v>28</v>
      </c>
      <c r="H174" s="1">
        <v>5</v>
      </c>
      <c r="I174" s="18">
        <v>134.61000000000001</v>
      </c>
      <c r="J174" s="18">
        <v>41900</v>
      </c>
      <c r="K174" s="2">
        <v>0</v>
      </c>
      <c r="L174" s="2" t="s">
        <v>3</v>
      </c>
      <c r="M174" s="7" t="s">
        <v>0</v>
      </c>
      <c r="N174" s="7" t="s">
        <v>7</v>
      </c>
      <c r="O174" s="7" t="s">
        <v>674</v>
      </c>
      <c r="S174" s="7" t="s">
        <v>96</v>
      </c>
      <c r="T174" s="8" t="s">
        <v>28</v>
      </c>
      <c r="U174" s="8">
        <v>5</v>
      </c>
      <c r="V174" s="8">
        <v>134.56</v>
      </c>
      <c r="W174" s="8" t="s">
        <v>196</v>
      </c>
      <c r="X174" s="15">
        <v>44794</v>
      </c>
      <c r="Y174" s="15">
        <v>45161</v>
      </c>
      <c r="Z174" s="17" t="s">
        <v>201</v>
      </c>
      <c r="AA174" s="118">
        <v>35952</v>
      </c>
      <c r="AB174" s="7">
        <v>40</v>
      </c>
      <c r="AC174" s="7">
        <v>5</v>
      </c>
      <c r="AD174" s="15">
        <v>45046</v>
      </c>
      <c r="AE174" s="50">
        <v>888.89</v>
      </c>
      <c r="AF174" s="50"/>
      <c r="AG174" s="7" t="s">
        <v>72</v>
      </c>
      <c r="AH174" s="15">
        <v>45113</v>
      </c>
      <c r="AI174" s="7">
        <v>10228642</v>
      </c>
      <c r="AJ174" s="7" t="s">
        <v>677</v>
      </c>
      <c r="AK174" s="7" t="s">
        <v>725</v>
      </c>
      <c r="AL174" s="20">
        <v>888.89</v>
      </c>
      <c r="AM174" s="20"/>
      <c r="AN174" s="20" t="s">
        <v>687</v>
      </c>
      <c r="AO174" s="20"/>
      <c r="AP174" s="20"/>
      <c r="AQ174" s="20"/>
      <c r="AR174" s="20"/>
      <c r="AS174" s="20"/>
      <c r="AT174" s="20"/>
      <c r="AU174" s="20"/>
      <c r="AV174" s="20"/>
      <c r="AW174" s="16">
        <v>45117</v>
      </c>
      <c r="AX174" s="7">
        <v>1689</v>
      </c>
      <c r="BA174" s="20">
        <v>888.89</v>
      </c>
      <c r="BB174" s="20"/>
      <c r="BD174" s="7"/>
      <c r="CS174" s="9">
        <f t="shared" si="16"/>
        <v>888.89</v>
      </c>
      <c r="CT174" s="20">
        <f t="shared" si="17"/>
        <v>888.89</v>
      </c>
      <c r="CU174" s="20">
        <f t="shared" si="18"/>
        <v>0</v>
      </c>
      <c r="CV174" s="24">
        <f t="shared" si="19"/>
        <v>0</v>
      </c>
    </row>
    <row r="175" spans="1:103" x14ac:dyDescent="0.2">
      <c r="A175" s="7" t="s">
        <v>763</v>
      </c>
      <c r="B175" s="1">
        <v>149</v>
      </c>
      <c r="C175" s="2" t="s">
        <v>36</v>
      </c>
      <c r="D175" s="2" t="s">
        <v>37</v>
      </c>
      <c r="E175" s="1"/>
      <c r="F175" s="1"/>
      <c r="G175" s="1" t="s">
        <v>28</v>
      </c>
      <c r="H175" s="1">
        <v>5</v>
      </c>
      <c r="I175" s="18">
        <v>134.61000000000001</v>
      </c>
      <c r="J175" s="18">
        <v>41900</v>
      </c>
      <c r="K175" s="2">
        <v>0</v>
      </c>
      <c r="L175" s="2" t="s">
        <v>3</v>
      </c>
      <c r="M175" s="7" t="s">
        <v>0</v>
      </c>
      <c r="N175" s="7" t="s">
        <v>7</v>
      </c>
      <c r="O175" s="7" t="s">
        <v>674</v>
      </c>
      <c r="S175" s="7" t="s">
        <v>96</v>
      </c>
      <c r="T175" s="8" t="s">
        <v>28</v>
      </c>
      <c r="U175" s="8">
        <v>5</v>
      </c>
      <c r="V175" s="8">
        <v>134.56</v>
      </c>
      <c r="W175" s="8" t="s">
        <v>196</v>
      </c>
      <c r="X175" s="15">
        <v>44794</v>
      </c>
      <c r="Y175" s="15">
        <v>45161</v>
      </c>
      <c r="Z175" s="17" t="s">
        <v>201</v>
      </c>
      <c r="AA175" s="118">
        <v>35952</v>
      </c>
      <c r="AB175" s="7">
        <v>40</v>
      </c>
      <c r="AC175" s="7">
        <v>6</v>
      </c>
      <c r="AD175" s="15">
        <v>45076</v>
      </c>
      <c r="AE175" s="50">
        <v>888.89</v>
      </c>
      <c r="AF175" s="50"/>
      <c r="AG175" s="7" t="s">
        <v>72</v>
      </c>
      <c r="AH175" s="15">
        <v>45113</v>
      </c>
      <c r="AI175" s="7">
        <v>10228642</v>
      </c>
      <c r="AJ175" s="7" t="s">
        <v>677</v>
      </c>
      <c r="AK175" s="7" t="s">
        <v>726</v>
      </c>
      <c r="AL175" s="20">
        <v>888.89</v>
      </c>
      <c r="AM175" s="20"/>
      <c r="AN175" s="20" t="s">
        <v>688</v>
      </c>
      <c r="AO175" s="20"/>
      <c r="AP175" s="20"/>
      <c r="AQ175" s="20"/>
      <c r="AR175" s="20"/>
      <c r="AS175" s="20"/>
      <c r="AT175" s="20"/>
      <c r="AU175" s="20"/>
      <c r="AV175" s="20"/>
      <c r="AW175" s="16">
        <v>45117</v>
      </c>
      <c r="AX175" s="7">
        <v>1689</v>
      </c>
      <c r="BA175" s="20">
        <v>888.89</v>
      </c>
      <c r="BB175" s="20"/>
      <c r="BD175" s="7"/>
      <c r="CS175" s="9">
        <f t="shared" si="16"/>
        <v>888.89</v>
      </c>
      <c r="CT175" s="20">
        <f t="shared" si="17"/>
        <v>888.89</v>
      </c>
      <c r="CU175" s="20">
        <f t="shared" si="18"/>
        <v>0</v>
      </c>
      <c r="CV175" s="24">
        <f t="shared" si="19"/>
        <v>0</v>
      </c>
    </row>
    <row r="176" spans="1:103" x14ac:dyDescent="0.2">
      <c r="A176" s="7" t="s">
        <v>763</v>
      </c>
      <c r="B176" s="1">
        <v>149</v>
      </c>
      <c r="C176" s="2" t="s">
        <v>36</v>
      </c>
      <c r="D176" s="2" t="s">
        <v>37</v>
      </c>
      <c r="E176" s="1"/>
      <c r="F176" s="1"/>
      <c r="G176" s="1" t="s">
        <v>28</v>
      </c>
      <c r="H176" s="1">
        <v>5</v>
      </c>
      <c r="I176" s="18">
        <v>134.61000000000001</v>
      </c>
      <c r="J176" s="18">
        <v>41900</v>
      </c>
      <c r="K176" s="2">
        <v>0</v>
      </c>
      <c r="L176" s="2" t="s">
        <v>3</v>
      </c>
      <c r="M176" s="7" t="s">
        <v>0</v>
      </c>
      <c r="N176" s="7" t="s">
        <v>7</v>
      </c>
      <c r="O176" s="7" t="s">
        <v>674</v>
      </c>
      <c r="S176" s="7" t="s">
        <v>96</v>
      </c>
      <c r="T176" s="8" t="s">
        <v>28</v>
      </c>
      <c r="U176" s="8">
        <v>5</v>
      </c>
      <c r="V176" s="8">
        <v>134.56</v>
      </c>
      <c r="W176" s="8" t="s">
        <v>196</v>
      </c>
      <c r="X176" s="15">
        <v>44794</v>
      </c>
      <c r="Y176" s="15">
        <v>45161</v>
      </c>
      <c r="Z176" s="17" t="s">
        <v>201</v>
      </c>
      <c r="AA176" s="118">
        <v>35952</v>
      </c>
      <c r="AB176" s="7">
        <v>40</v>
      </c>
      <c r="AC176" s="7">
        <v>7</v>
      </c>
      <c r="AD176" s="15">
        <v>45107</v>
      </c>
      <c r="AE176" s="50">
        <v>888.89</v>
      </c>
      <c r="AF176" s="50"/>
      <c r="AG176" s="7" t="s">
        <v>72</v>
      </c>
      <c r="AH176" s="15">
        <v>45113</v>
      </c>
      <c r="AI176" s="7">
        <v>10228642</v>
      </c>
      <c r="AJ176" s="7" t="s">
        <v>677</v>
      </c>
      <c r="AK176" s="7" t="s">
        <v>727</v>
      </c>
      <c r="AL176" s="20">
        <v>889.12</v>
      </c>
      <c r="AM176" s="20"/>
      <c r="AN176" s="20" t="s">
        <v>689</v>
      </c>
      <c r="AO176" s="20"/>
      <c r="AP176" s="20"/>
      <c r="AQ176" s="20"/>
      <c r="AR176" s="20"/>
      <c r="AS176" s="20"/>
      <c r="AT176" s="20"/>
      <c r="AU176" s="20"/>
      <c r="AV176" s="20"/>
      <c r="AW176" s="16">
        <v>45117</v>
      </c>
      <c r="AX176" s="7">
        <v>1689</v>
      </c>
      <c r="BA176" s="20">
        <v>889.12</v>
      </c>
      <c r="BB176" s="20"/>
      <c r="BD176" s="7"/>
      <c r="CS176" s="9">
        <f t="shared" si="16"/>
        <v>889.12</v>
      </c>
      <c r="CT176" s="20">
        <f t="shared" si="17"/>
        <v>889.12</v>
      </c>
      <c r="CU176" s="20">
        <f t="shared" si="18"/>
        <v>0</v>
      </c>
      <c r="CV176" s="24">
        <f t="shared" si="19"/>
        <v>-0.23000000000001819</v>
      </c>
    </row>
    <row r="177" spans="1:103" x14ac:dyDescent="0.2">
      <c r="A177" s="7" t="s">
        <v>763</v>
      </c>
      <c r="B177" s="1">
        <v>149</v>
      </c>
      <c r="C177" s="2" t="s">
        <v>36</v>
      </c>
      <c r="D177" s="2" t="s">
        <v>37</v>
      </c>
      <c r="E177" s="1"/>
      <c r="F177" s="1"/>
      <c r="G177" s="1" t="s">
        <v>28</v>
      </c>
      <c r="H177" s="1">
        <v>5</v>
      </c>
      <c r="I177" s="18">
        <v>134.61000000000001</v>
      </c>
      <c r="J177" s="18">
        <v>41900</v>
      </c>
      <c r="K177" s="2">
        <v>0</v>
      </c>
      <c r="L177" s="2" t="s">
        <v>3</v>
      </c>
      <c r="M177" s="7" t="s">
        <v>0</v>
      </c>
      <c r="N177" s="7" t="s">
        <v>7</v>
      </c>
      <c r="O177" s="7" t="s">
        <v>674</v>
      </c>
      <c r="S177" s="7" t="s">
        <v>96</v>
      </c>
      <c r="T177" s="8" t="s">
        <v>28</v>
      </c>
      <c r="U177" s="8">
        <v>5</v>
      </c>
      <c r="V177" s="8">
        <v>134.56</v>
      </c>
      <c r="W177" s="8" t="s">
        <v>196</v>
      </c>
      <c r="X177" s="15">
        <v>44794</v>
      </c>
      <c r="Y177" s="15">
        <v>45161</v>
      </c>
      <c r="Z177" s="17" t="s">
        <v>201</v>
      </c>
      <c r="AA177" s="118">
        <v>35952</v>
      </c>
      <c r="AB177" s="7">
        <v>40</v>
      </c>
      <c r="AC177" s="7">
        <v>8</v>
      </c>
      <c r="AD177" s="15">
        <v>45137</v>
      </c>
      <c r="AE177" s="50">
        <v>888.89</v>
      </c>
      <c r="AF177" s="50"/>
      <c r="AG177" s="7" t="s">
        <v>72</v>
      </c>
      <c r="AH177" s="15">
        <v>45161</v>
      </c>
      <c r="AI177" s="7">
        <v>10228642</v>
      </c>
      <c r="AJ177" s="7" t="s">
        <v>677</v>
      </c>
      <c r="AK177" s="7" t="s">
        <v>728</v>
      </c>
      <c r="AL177" s="20">
        <v>889.12</v>
      </c>
      <c r="AM177" s="20"/>
      <c r="AN177" s="20" t="s">
        <v>690</v>
      </c>
      <c r="AO177" s="20"/>
      <c r="AP177" s="20"/>
      <c r="AQ177" s="20"/>
      <c r="AR177" s="20"/>
      <c r="AS177" s="20"/>
      <c r="AT177" s="20"/>
      <c r="AU177" s="20"/>
      <c r="AV177" s="20"/>
      <c r="AW177" s="16">
        <v>45134</v>
      </c>
      <c r="AX177" s="7">
        <v>1746</v>
      </c>
      <c r="BA177" s="20">
        <v>889.12</v>
      </c>
      <c r="BB177" s="20"/>
      <c r="BD177" s="7"/>
      <c r="CS177" s="9">
        <f t="shared" si="16"/>
        <v>889.12</v>
      </c>
      <c r="CT177" s="20">
        <f t="shared" si="17"/>
        <v>889.12</v>
      </c>
      <c r="CU177" s="20">
        <f t="shared" si="18"/>
        <v>0</v>
      </c>
      <c r="CV177" s="24">
        <f t="shared" si="19"/>
        <v>-0.23000000000001819</v>
      </c>
    </row>
    <row r="178" spans="1:103" x14ac:dyDescent="0.2">
      <c r="A178" s="7" t="s">
        <v>763</v>
      </c>
      <c r="B178" s="1">
        <v>149</v>
      </c>
      <c r="C178" s="2" t="s">
        <v>36</v>
      </c>
      <c r="D178" s="2" t="s">
        <v>37</v>
      </c>
      <c r="E178" s="1"/>
      <c r="F178" s="1"/>
      <c r="G178" s="1" t="s">
        <v>28</v>
      </c>
      <c r="H178" s="1">
        <v>5</v>
      </c>
      <c r="I178" s="18">
        <v>134.61000000000001</v>
      </c>
      <c r="J178" s="18">
        <v>41900</v>
      </c>
      <c r="K178" s="2">
        <v>0</v>
      </c>
      <c r="L178" s="2" t="s">
        <v>3</v>
      </c>
      <c r="M178" s="7" t="s">
        <v>0</v>
      </c>
      <c r="N178" s="7" t="s">
        <v>7</v>
      </c>
      <c r="O178" s="7" t="s">
        <v>674</v>
      </c>
      <c r="S178" s="7" t="s">
        <v>96</v>
      </c>
      <c r="T178" s="8" t="s">
        <v>28</v>
      </c>
      <c r="U178" s="8">
        <v>5</v>
      </c>
      <c r="V178" s="8">
        <v>134.56</v>
      </c>
      <c r="W178" s="8" t="s">
        <v>196</v>
      </c>
      <c r="X178" s="15">
        <v>44794</v>
      </c>
      <c r="Y178" s="15">
        <v>45161</v>
      </c>
      <c r="Z178" s="17" t="s">
        <v>201</v>
      </c>
      <c r="AA178" s="118">
        <v>35952</v>
      </c>
      <c r="AB178" s="7">
        <v>40</v>
      </c>
      <c r="AC178" s="7">
        <v>9</v>
      </c>
      <c r="AD178" s="15">
        <v>45168</v>
      </c>
      <c r="AE178" s="50">
        <v>778</v>
      </c>
      <c r="AF178" s="50"/>
      <c r="AG178" s="7" t="s">
        <v>72</v>
      </c>
      <c r="AH178" s="15">
        <v>45174</v>
      </c>
      <c r="AI178" s="7">
        <v>10228642</v>
      </c>
      <c r="AJ178" s="7" t="s">
        <v>677</v>
      </c>
      <c r="AK178" s="7" t="s">
        <v>729</v>
      </c>
      <c r="AL178" s="20">
        <v>778</v>
      </c>
      <c r="AM178" s="20"/>
      <c r="AN178" s="20" t="s">
        <v>692</v>
      </c>
      <c r="AO178" s="20"/>
      <c r="AP178" s="20"/>
      <c r="AQ178" s="20"/>
      <c r="AR178" s="20"/>
      <c r="AS178" s="20"/>
      <c r="AT178" s="20"/>
      <c r="AU178" s="20"/>
      <c r="AV178" s="20"/>
      <c r="AW178" s="16">
        <v>45167</v>
      </c>
      <c r="AX178" s="7">
        <v>1857</v>
      </c>
      <c r="BA178" s="20">
        <v>778</v>
      </c>
      <c r="BB178" s="20"/>
      <c r="BD178" s="7"/>
      <c r="CS178" s="9">
        <f t="shared" si="16"/>
        <v>778</v>
      </c>
      <c r="CT178" s="20">
        <f t="shared" si="17"/>
        <v>778</v>
      </c>
      <c r="CU178" s="20">
        <f t="shared" si="18"/>
        <v>0</v>
      </c>
      <c r="CV178" s="24">
        <f t="shared" si="19"/>
        <v>0</v>
      </c>
    </row>
    <row r="179" spans="1:103" x14ac:dyDescent="0.2">
      <c r="A179" s="7" t="s">
        <v>763</v>
      </c>
      <c r="B179" s="1">
        <v>149</v>
      </c>
      <c r="C179" s="2" t="s">
        <v>36</v>
      </c>
      <c r="D179" s="2" t="s">
        <v>37</v>
      </c>
      <c r="E179" s="1"/>
      <c r="F179" s="1"/>
      <c r="G179" s="1" t="s">
        <v>28</v>
      </c>
      <c r="H179" s="1">
        <v>5</v>
      </c>
      <c r="I179" s="18">
        <v>134.61000000000001</v>
      </c>
      <c r="J179" s="18">
        <v>41900</v>
      </c>
      <c r="K179" s="2">
        <v>0</v>
      </c>
      <c r="L179" s="2" t="s">
        <v>3</v>
      </c>
      <c r="M179" s="7" t="s">
        <v>0</v>
      </c>
      <c r="N179" s="7" t="s">
        <v>7</v>
      </c>
      <c r="O179" s="7" t="s">
        <v>674</v>
      </c>
      <c r="S179" s="7" t="s">
        <v>96</v>
      </c>
      <c r="T179" s="8" t="s">
        <v>28</v>
      </c>
      <c r="U179" s="8">
        <v>5</v>
      </c>
      <c r="V179" s="8">
        <v>134.56</v>
      </c>
      <c r="W179" s="8" t="s">
        <v>196</v>
      </c>
      <c r="X179" s="15">
        <v>44794</v>
      </c>
      <c r="Y179" s="15">
        <v>45161</v>
      </c>
      <c r="Z179" s="17" t="s">
        <v>201</v>
      </c>
      <c r="AA179" s="118">
        <v>35952</v>
      </c>
      <c r="AB179" s="7">
        <v>40</v>
      </c>
      <c r="AC179" s="7">
        <v>10</v>
      </c>
      <c r="AD179" s="15">
        <v>45199</v>
      </c>
      <c r="AE179" s="50">
        <v>778</v>
      </c>
      <c r="AF179" s="50"/>
      <c r="AG179" s="7" t="s">
        <v>72</v>
      </c>
      <c r="AH179" s="15">
        <v>45209</v>
      </c>
      <c r="AI179" s="7">
        <v>10228642</v>
      </c>
      <c r="AJ179" s="7" t="s">
        <v>677</v>
      </c>
      <c r="AK179" s="7" t="s">
        <v>730</v>
      </c>
      <c r="AL179" s="20">
        <v>778</v>
      </c>
      <c r="AM179" s="20"/>
      <c r="AN179" s="20" t="s">
        <v>693</v>
      </c>
      <c r="AO179" s="20"/>
      <c r="AP179" s="20"/>
      <c r="AQ179" s="20"/>
      <c r="AR179" s="20"/>
      <c r="AS179" s="20"/>
      <c r="AT179" s="20"/>
      <c r="AU179" s="20"/>
      <c r="AV179" s="20"/>
      <c r="AW179" s="16">
        <v>45205</v>
      </c>
      <c r="AX179" s="7">
        <v>1956</v>
      </c>
      <c r="BA179" s="20">
        <v>778</v>
      </c>
      <c r="BB179" s="20"/>
      <c r="BD179" s="7"/>
      <c r="CS179" s="9">
        <f t="shared" si="16"/>
        <v>778</v>
      </c>
      <c r="CT179" s="20">
        <f t="shared" si="17"/>
        <v>778</v>
      </c>
      <c r="CU179" s="20">
        <f t="shared" si="18"/>
        <v>0</v>
      </c>
      <c r="CV179" s="24">
        <f t="shared" si="19"/>
        <v>0</v>
      </c>
    </row>
    <row r="180" spans="1:103" x14ac:dyDescent="0.2">
      <c r="A180" s="7" t="s">
        <v>763</v>
      </c>
      <c r="B180" s="1">
        <v>149</v>
      </c>
      <c r="C180" s="2" t="s">
        <v>36</v>
      </c>
      <c r="D180" s="2" t="s">
        <v>37</v>
      </c>
      <c r="E180" s="1"/>
      <c r="F180" s="1"/>
      <c r="G180" s="1" t="s">
        <v>28</v>
      </c>
      <c r="H180" s="1">
        <v>5</v>
      </c>
      <c r="I180" s="18">
        <v>134.61000000000001</v>
      </c>
      <c r="J180" s="18">
        <v>41900</v>
      </c>
      <c r="K180" s="2">
        <v>0</v>
      </c>
      <c r="L180" s="2" t="s">
        <v>3</v>
      </c>
      <c r="M180" s="7" t="s">
        <v>0</v>
      </c>
      <c r="N180" s="7" t="s">
        <v>7</v>
      </c>
      <c r="O180" s="7" t="s">
        <v>674</v>
      </c>
      <c r="S180" s="7" t="s">
        <v>96</v>
      </c>
      <c r="T180" s="8" t="s">
        <v>28</v>
      </c>
      <c r="U180" s="8">
        <v>5</v>
      </c>
      <c r="V180" s="8">
        <v>134.56</v>
      </c>
      <c r="W180" s="8" t="s">
        <v>196</v>
      </c>
      <c r="X180" s="15">
        <v>44794</v>
      </c>
      <c r="Y180" s="15">
        <v>45161</v>
      </c>
      <c r="Z180" s="17" t="s">
        <v>201</v>
      </c>
      <c r="AA180" s="118">
        <v>35952</v>
      </c>
      <c r="AB180" s="7">
        <v>40</v>
      </c>
      <c r="AC180" s="7">
        <v>11</v>
      </c>
      <c r="AD180" s="15">
        <v>45229</v>
      </c>
      <c r="AE180" s="50">
        <v>778</v>
      </c>
      <c r="AF180" s="50"/>
      <c r="AG180" s="7" t="s">
        <v>72</v>
      </c>
      <c r="AH180" s="15">
        <v>45239</v>
      </c>
      <c r="AI180" s="7">
        <v>10228642</v>
      </c>
      <c r="AJ180" s="7" t="s">
        <v>677</v>
      </c>
      <c r="AK180" s="7" t="s">
        <v>731</v>
      </c>
      <c r="AL180" s="20">
        <v>778</v>
      </c>
      <c r="AM180" s="20"/>
      <c r="AN180" s="20" t="s">
        <v>696</v>
      </c>
      <c r="AO180" s="20"/>
      <c r="AP180" s="20"/>
      <c r="AQ180" s="20"/>
      <c r="AR180" s="20"/>
      <c r="AS180" s="20"/>
      <c r="AT180" s="20"/>
      <c r="AU180" s="20"/>
      <c r="AV180" s="20"/>
      <c r="AW180" s="16">
        <v>45238</v>
      </c>
      <c r="AX180" s="7">
        <v>2035</v>
      </c>
      <c r="BA180" s="20">
        <v>778</v>
      </c>
      <c r="BB180" s="20"/>
      <c r="BD180" s="7"/>
      <c r="CS180" s="9">
        <f t="shared" si="16"/>
        <v>778</v>
      </c>
      <c r="CT180" s="20">
        <f t="shared" si="17"/>
        <v>778</v>
      </c>
      <c r="CU180" s="20">
        <f t="shared" si="18"/>
        <v>0</v>
      </c>
      <c r="CV180" s="24">
        <f t="shared" si="19"/>
        <v>0</v>
      </c>
    </row>
    <row r="181" spans="1:103" x14ac:dyDescent="0.2">
      <c r="A181" s="7" t="s">
        <v>763</v>
      </c>
      <c r="B181" s="1">
        <v>149</v>
      </c>
      <c r="C181" s="2" t="s">
        <v>36</v>
      </c>
      <c r="D181" s="2" t="s">
        <v>37</v>
      </c>
      <c r="E181" s="1"/>
      <c r="F181" s="1"/>
      <c r="G181" s="1" t="s">
        <v>28</v>
      </c>
      <c r="H181" s="1">
        <v>5</v>
      </c>
      <c r="I181" s="18">
        <v>134.61000000000001</v>
      </c>
      <c r="J181" s="18">
        <v>41900</v>
      </c>
      <c r="K181" s="2">
        <v>0</v>
      </c>
      <c r="L181" s="2" t="s">
        <v>3</v>
      </c>
      <c r="M181" s="7" t="s">
        <v>0</v>
      </c>
      <c r="N181" s="7" t="s">
        <v>7</v>
      </c>
      <c r="O181" s="7" t="s">
        <v>674</v>
      </c>
      <c r="S181" s="7" t="s">
        <v>96</v>
      </c>
      <c r="T181" s="8" t="s">
        <v>28</v>
      </c>
      <c r="U181" s="8">
        <v>5</v>
      </c>
      <c r="V181" s="8">
        <v>134.56</v>
      </c>
      <c r="W181" s="8" t="s">
        <v>196</v>
      </c>
      <c r="X181" s="15">
        <v>44794</v>
      </c>
      <c r="Y181" s="15">
        <v>45161</v>
      </c>
      <c r="Z181" s="17" t="s">
        <v>201</v>
      </c>
      <c r="AA181" s="118">
        <v>35952</v>
      </c>
      <c r="AB181" s="7">
        <v>40</v>
      </c>
      <c r="AC181" s="7">
        <v>12</v>
      </c>
      <c r="AD181" s="15">
        <v>45260</v>
      </c>
      <c r="AE181" s="50">
        <v>778</v>
      </c>
      <c r="AF181" s="50"/>
      <c r="AG181" s="7" t="s">
        <v>72</v>
      </c>
      <c r="AH181" s="15">
        <v>45282</v>
      </c>
      <c r="AI181" s="7">
        <v>10228642</v>
      </c>
      <c r="AJ181" s="7" t="s">
        <v>677</v>
      </c>
      <c r="AK181" s="7" t="s">
        <v>732</v>
      </c>
      <c r="AL181" s="20">
        <v>778</v>
      </c>
      <c r="AM181" s="20"/>
      <c r="AN181" s="20" t="s">
        <v>697</v>
      </c>
      <c r="AO181" s="20"/>
      <c r="AP181" s="20"/>
      <c r="AQ181" s="20"/>
      <c r="AR181" s="20"/>
      <c r="AS181" s="20"/>
      <c r="AT181" s="20"/>
      <c r="AU181" s="20"/>
      <c r="AV181" s="20"/>
      <c r="AW181" s="16">
        <v>45282</v>
      </c>
      <c r="AX181" s="7">
        <v>2140</v>
      </c>
      <c r="BA181" s="20">
        <v>778</v>
      </c>
      <c r="BB181" s="20"/>
      <c r="BD181" s="7"/>
      <c r="CS181" s="9">
        <f t="shared" si="16"/>
        <v>778</v>
      </c>
      <c r="CT181" s="20">
        <f t="shared" si="17"/>
        <v>778</v>
      </c>
      <c r="CU181" s="20">
        <f t="shared" si="18"/>
        <v>0</v>
      </c>
      <c r="CV181" s="24">
        <f t="shared" si="19"/>
        <v>0</v>
      </c>
    </row>
    <row r="182" spans="1:103" x14ac:dyDescent="0.2">
      <c r="A182" s="7" t="s">
        <v>763</v>
      </c>
      <c r="B182" s="1">
        <v>149</v>
      </c>
      <c r="C182" s="2" t="s">
        <v>36</v>
      </c>
      <c r="D182" s="2" t="s">
        <v>37</v>
      </c>
      <c r="E182" s="1"/>
      <c r="F182" s="1"/>
      <c r="G182" s="1" t="s">
        <v>28</v>
      </c>
      <c r="H182" s="1">
        <v>5</v>
      </c>
      <c r="I182" s="18">
        <v>134.61000000000001</v>
      </c>
      <c r="J182" s="18">
        <v>41900</v>
      </c>
      <c r="K182" s="2">
        <v>0</v>
      </c>
      <c r="L182" s="2" t="s">
        <v>3</v>
      </c>
      <c r="M182" s="7" t="s">
        <v>0</v>
      </c>
      <c r="N182" s="7" t="s">
        <v>7</v>
      </c>
      <c r="O182" s="7" t="s">
        <v>674</v>
      </c>
      <c r="S182" s="7" t="s">
        <v>96</v>
      </c>
      <c r="T182" s="8" t="s">
        <v>28</v>
      </c>
      <c r="U182" s="8">
        <v>5</v>
      </c>
      <c r="V182" s="8">
        <v>134.56</v>
      </c>
      <c r="W182" s="8" t="s">
        <v>196</v>
      </c>
      <c r="X182" s="15">
        <v>44794</v>
      </c>
      <c r="Y182" s="15">
        <v>45161</v>
      </c>
      <c r="Z182" s="17" t="s">
        <v>201</v>
      </c>
      <c r="AA182" s="118">
        <v>35952</v>
      </c>
      <c r="AB182" s="7">
        <v>40</v>
      </c>
      <c r="AC182" s="7">
        <v>13</v>
      </c>
      <c r="AD182" s="15">
        <v>45290</v>
      </c>
      <c r="AE182" s="50">
        <v>778</v>
      </c>
      <c r="AF182" s="50"/>
      <c r="AG182" s="7" t="s">
        <v>72</v>
      </c>
      <c r="AH182" s="15">
        <v>45372</v>
      </c>
      <c r="AI182" s="7">
        <v>10228642</v>
      </c>
      <c r="AJ182" s="7" t="s">
        <v>677</v>
      </c>
      <c r="AK182" s="7" t="s">
        <v>733</v>
      </c>
      <c r="AL182" s="20">
        <v>778</v>
      </c>
      <c r="AM182" s="20"/>
      <c r="AN182" s="20" t="s">
        <v>701</v>
      </c>
      <c r="AO182" s="20"/>
      <c r="AP182" s="20"/>
      <c r="AQ182" s="20"/>
      <c r="AR182" s="20"/>
      <c r="AS182" s="20"/>
      <c r="AT182" s="20"/>
      <c r="AU182" s="20"/>
      <c r="AV182" s="20"/>
      <c r="AW182" s="16">
        <v>45323</v>
      </c>
      <c r="AX182" s="7">
        <v>2260</v>
      </c>
      <c r="BA182" s="20">
        <v>778</v>
      </c>
      <c r="BB182" s="20"/>
      <c r="BD182" s="7"/>
      <c r="CS182" s="9">
        <f t="shared" si="16"/>
        <v>778</v>
      </c>
      <c r="CT182" s="20">
        <f t="shared" si="17"/>
        <v>778</v>
      </c>
      <c r="CU182" s="20">
        <f t="shared" si="18"/>
        <v>0</v>
      </c>
      <c r="CV182" s="24">
        <f t="shared" si="19"/>
        <v>0</v>
      </c>
    </row>
    <row r="183" spans="1:103" x14ac:dyDescent="0.2">
      <c r="A183" s="7" t="s">
        <v>763</v>
      </c>
      <c r="B183" s="1">
        <v>149</v>
      </c>
      <c r="C183" s="2" t="s">
        <v>36</v>
      </c>
      <c r="D183" s="2" t="s">
        <v>37</v>
      </c>
      <c r="E183" s="1"/>
      <c r="F183" s="1"/>
      <c r="G183" s="1" t="s">
        <v>28</v>
      </c>
      <c r="H183" s="1">
        <v>5</v>
      </c>
      <c r="I183" s="18">
        <v>134.61000000000001</v>
      </c>
      <c r="J183" s="18">
        <v>41900</v>
      </c>
      <c r="K183" s="2">
        <v>0</v>
      </c>
      <c r="L183" s="2" t="s">
        <v>3</v>
      </c>
      <c r="M183" s="7" t="s">
        <v>0</v>
      </c>
      <c r="N183" s="7" t="s">
        <v>7</v>
      </c>
      <c r="O183" s="7" t="s">
        <v>674</v>
      </c>
      <c r="S183" s="7" t="s">
        <v>96</v>
      </c>
      <c r="T183" s="8" t="s">
        <v>28</v>
      </c>
      <c r="U183" s="8">
        <v>5</v>
      </c>
      <c r="V183" s="8">
        <v>134.56</v>
      </c>
      <c r="W183" s="8" t="s">
        <v>196</v>
      </c>
      <c r="X183" s="15">
        <v>44794</v>
      </c>
      <c r="Y183" s="15">
        <v>45161</v>
      </c>
      <c r="Z183" s="17" t="s">
        <v>201</v>
      </c>
      <c r="AA183" s="118">
        <v>35952</v>
      </c>
      <c r="AB183" s="7">
        <v>40</v>
      </c>
      <c r="AC183" s="7">
        <v>14</v>
      </c>
      <c r="AD183" s="15">
        <v>45321</v>
      </c>
      <c r="AE183" s="50">
        <v>778</v>
      </c>
      <c r="AF183" s="50"/>
      <c r="AG183" s="7" t="s">
        <v>72</v>
      </c>
      <c r="AH183" s="15">
        <v>45372</v>
      </c>
      <c r="AI183" s="7">
        <v>10228642</v>
      </c>
      <c r="AJ183" s="7" t="s">
        <v>677</v>
      </c>
      <c r="AK183" s="7" t="s">
        <v>734</v>
      </c>
      <c r="AL183" s="20">
        <v>778</v>
      </c>
      <c r="AM183" s="20"/>
      <c r="AN183" s="20" t="s">
        <v>702</v>
      </c>
      <c r="AO183" s="20"/>
      <c r="AP183" s="20"/>
      <c r="AQ183" s="20"/>
      <c r="AR183" s="20"/>
      <c r="AS183" s="20"/>
      <c r="AT183" s="20"/>
      <c r="AU183" s="20"/>
      <c r="AV183" s="20"/>
      <c r="AW183" s="16">
        <v>45348</v>
      </c>
      <c r="AX183" s="7">
        <v>2342</v>
      </c>
      <c r="BA183" s="20">
        <v>778</v>
      </c>
      <c r="BB183" s="20"/>
      <c r="BD183" s="7"/>
      <c r="CS183" s="9">
        <f t="shared" si="16"/>
        <v>778</v>
      </c>
      <c r="CT183" s="20">
        <f t="shared" si="17"/>
        <v>778</v>
      </c>
      <c r="CU183" s="20">
        <f t="shared" si="18"/>
        <v>0</v>
      </c>
      <c r="CV183" s="24">
        <f t="shared" si="19"/>
        <v>0</v>
      </c>
    </row>
    <row r="184" spans="1:103" x14ac:dyDescent="0.2">
      <c r="A184" s="7" t="s">
        <v>763</v>
      </c>
      <c r="B184" s="1">
        <v>149</v>
      </c>
      <c r="C184" s="2" t="s">
        <v>36</v>
      </c>
      <c r="D184" s="2" t="s">
        <v>37</v>
      </c>
      <c r="E184" s="1"/>
      <c r="F184" s="1"/>
      <c r="G184" s="1" t="s">
        <v>28</v>
      </c>
      <c r="H184" s="1">
        <v>5</v>
      </c>
      <c r="I184" s="18">
        <v>134.61000000000001</v>
      </c>
      <c r="J184" s="18">
        <v>41900</v>
      </c>
      <c r="K184" s="2">
        <v>0</v>
      </c>
      <c r="L184" s="2" t="s">
        <v>3</v>
      </c>
      <c r="M184" s="7" t="s">
        <v>0</v>
      </c>
      <c r="N184" s="7" t="s">
        <v>7</v>
      </c>
      <c r="O184" s="7" t="s">
        <v>674</v>
      </c>
      <c r="S184" s="7" t="s">
        <v>96</v>
      </c>
      <c r="T184" s="8" t="s">
        <v>28</v>
      </c>
      <c r="U184" s="8">
        <v>5</v>
      </c>
      <c r="V184" s="8">
        <v>134.56</v>
      </c>
      <c r="W184" s="8" t="s">
        <v>196</v>
      </c>
      <c r="X184" s="15">
        <v>44794</v>
      </c>
      <c r="Y184" s="15">
        <v>45161</v>
      </c>
      <c r="Z184" s="17" t="s">
        <v>201</v>
      </c>
      <c r="AA184" s="118">
        <v>35952</v>
      </c>
      <c r="AB184" s="7">
        <v>40</v>
      </c>
      <c r="AC184" s="7">
        <v>15</v>
      </c>
      <c r="AD184" s="15">
        <v>45351</v>
      </c>
      <c r="AE184" s="50">
        <v>778</v>
      </c>
      <c r="AF184" s="50"/>
      <c r="AG184" s="7" t="s">
        <v>72</v>
      </c>
      <c r="AH184" s="15">
        <v>45404</v>
      </c>
      <c r="AI184" s="7">
        <v>10228642</v>
      </c>
      <c r="AJ184" s="7" t="s">
        <v>677</v>
      </c>
      <c r="AK184" s="7" t="s">
        <v>735</v>
      </c>
      <c r="AL184" s="20">
        <v>778</v>
      </c>
      <c r="AM184" s="20"/>
      <c r="AN184" s="20" t="s">
        <v>703</v>
      </c>
      <c r="AO184" s="20"/>
      <c r="AP184" s="20"/>
      <c r="AQ184" s="20"/>
      <c r="AR184" s="20"/>
      <c r="AS184" s="20"/>
      <c r="AT184" s="20"/>
      <c r="AU184" s="20"/>
      <c r="AV184" s="20"/>
      <c r="AW184" s="16">
        <v>45401</v>
      </c>
      <c r="AX184" s="7">
        <v>2550</v>
      </c>
      <c r="BA184" s="20">
        <v>778</v>
      </c>
      <c r="BB184" s="20"/>
      <c r="BD184" s="7"/>
      <c r="CS184" s="9">
        <f t="shared" si="16"/>
        <v>778</v>
      </c>
      <c r="CT184" s="20">
        <f t="shared" si="17"/>
        <v>778</v>
      </c>
      <c r="CU184" s="20">
        <f t="shared" si="18"/>
        <v>0</v>
      </c>
      <c r="CV184" s="24">
        <f t="shared" si="19"/>
        <v>0</v>
      </c>
    </row>
    <row r="185" spans="1:103" x14ac:dyDescent="0.2">
      <c r="A185" s="7" t="s">
        <v>763</v>
      </c>
      <c r="B185" s="1">
        <v>149</v>
      </c>
      <c r="C185" s="2" t="s">
        <v>36</v>
      </c>
      <c r="D185" s="2" t="s">
        <v>37</v>
      </c>
      <c r="E185" s="1"/>
      <c r="F185" s="1"/>
      <c r="G185" s="1" t="s">
        <v>28</v>
      </c>
      <c r="H185" s="1">
        <v>5</v>
      </c>
      <c r="I185" s="18">
        <v>134.61000000000001</v>
      </c>
      <c r="J185" s="18">
        <v>41900</v>
      </c>
      <c r="K185" s="2">
        <v>0</v>
      </c>
      <c r="L185" s="2" t="s">
        <v>3</v>
      </c>
      <c r="M185" s="7" t="s">
        <v>0</v>
      </c>
      <c r="N185" s="7" t="s">
        <v>7</v>
      </c>
      <c r="O185" s="7" t="s">
        <v>674</v>
      </c>
      <c r="S185" s="7" t="s">
        <v>96</v>
      </c>
      <c r="T185" s="8" t="s">
        <v>28</v>
      </c>
      <c r="U185" s="8">
        <v>5</v>
      </c>
      <c r="V185" s="8">
        <v>134.56</v>
      </c>
      <c r="W185" s="8" t="s">
        <v>196</v>
      </c>
      <c r="X185" s="15">
        <v>44794</v>
      </c>
      <c r="Y185" s="15">
        <v>45161</v>
      </c>
      <c r="Z185" s="17" t="s">
        <v>201</v>
      </c>
      <c r="AA185" s="118">
        <v>35952</v>
      </c>
      <c r="AB185" s="7">
        <v>40</v>
      </c>
      <c r="AC185" s="7">
        <v>16</v>
      </c>
      <c r="AD185" s="15">
        <v>45381</v>
      </c>
      <c r="AE185" s="50">
        <v>778</v>
      </c>
      <c r="AF185" s="50"/>
      <c r="AG185" s="7" t="s">
        <v>72</v>
      </c>
      <c r="AH185" s="15">
        <v>45471</v>
      </c>
      <c r="AI185" s="7">
        <v>10228642</v>
      </c>
      <c r="AJ185" s="7" t="s">
        <v>677</v>
      </c>
      <c r="AK185" s="7" t="s">
        <v>736</v>
      </c>
      <c r="AL185" s="20">
        <v>778</v>
      </c>
      <c r="AM185" s="20"/>
      <c r="AN185" s="20" t="s">
        <v>705</v>
      </c>
      <c r="AO185" s="20"/>
      <c r="AP185" s="20"/>
      <c r="AQ185" s="20"/>
      <c r="AR185" s="20"/>
      <c r="AS185" s="20"/>
      <c r="AT185" s="20"/>
      <c r="AU185" s="20"/>
      <c r="AV185" s="20"/>
      <c r="AW185" s="16">
        <v>45471</v>
      </c>
      <c r="AX185" s="7">
        <v>2824</v>
      </c>
      <c r="BA185" s="20">
        <v>278</v>
      </c>
      <c r="BB185" s="20"/>
      <c r="BD185" s="7"/>
      <c r="CS185" s="9">
        <f t="shared" si="16"/>
        <v>778</v>
      </c>
      <c r="CT185" s="20">
        <f t="shared" si="17"/>
        <v>278</v>
      </c>
      <c r="CU185" s="20">
        <f t="shared" si="18"/>
        <v>500</v>
      </c>
      <c r="CV185" s="24">
        <f t="shared" si="19"/>
        <v>0</v>
      </c>
      <c r="CW185" s="7" t="s">
        <v>874</v>
      </c>
      <c r="CY185" s="7" t="s">
        <v>873</v>
      </c>
    </row>
    <row r="186" spans="1:103" x14ac:dyDescent="0.2">
      <c r="A186" s="7" t="s">
        <v>763</v>
      </c>
      <c r="B186" s="1">
        <v>149</v>
      </c>
      <c r="C186" s="2" t="s">
        <v>36</v>
      </c>
      <c r="D186" s="2" t="s">
        <v>37</v>
      </c>
      <c r="E186" s="1"/>
      <c r="F186" s="1"/>
      <c r="G186" s="1" t="s">
        <v>28</v>
      </c>
      <c r="H186" s="1">
        <v>5</v>
      </c>
      <c r="I186" s="18">
        <v>134.61000000000001</v>
      </c>
      <c r="J186" s="18">
        <v>41900</v>
      </c>
      <c r="K186" s="2">
        <v>0</v>
      </c>
      <c r="L186" s="2" t="s">
        <v>3</v>
      </c>
      <c r="M186" s="7" t="s">
        <v>0</v>
      </c>
      <c r="N186" s="7" t="s">
        <v>7</v>
      </c>
      <c r="O186" s="7" t="s">
        <v>674</v>
      </c>
      <c r="S186" s="7" t="s">
        <v>96</v>
      </c>
      <c r="T186" s="8" t="s">
        <v>28</v>
      </c>
      <c r="U186" s="8">
        <v>5</v>
      </c>
      <c r="V186" s="8">
        <v>134.56</v>
      </c>
      <c r="W186" s="8" t="s">
        <v>196</v>
      </c>
      <c r="X186" s="15">
        <v>44794</v>
      </c>
      <c r="Y186" s="15">
        <v>45161</v>
      </c>
      <c r="Z186" s="17" t="s">
        <v>201</v>
      </c>
      <c r="AA186" s="118">
        <v>35952</v>
      </c>
      <c r="AB186" s="7">
        <v>40</v>
      </c>
      <c r="AC186" s="7">
        <v>17</v>
      </c>
      <c r="AD186" s="15">
        <v>45412</v>
      </c>
      <c r="AE186" s="50">
        <v>778</v>
      </c>
      <c r="AF186" s="50"/>
      <c r="AG186" s="7" t="s">
        <v>72</v>
      </c>
      <c r="AH186" s="15">
        <v>45471</v>
      </c>
      <c r="AI186" s="7">
        <v>10228642</v>
      </c>
      <c r="AJ186" s="7" t="s">
        <v>677</v>
      </c>
      <c r="AK186" s="7" t="s">
        <v>737</v>
      </c>
      <c r="AL186" s="20">
        <v>778</v>
      </c>
      <c r="AM186" s="20"/>
      <c r="AN186" s="20" t="s">
        <v>706</v>
      </c>
      <c r="AO186" s="20"/>
      <c r="AP186" s="20"/>
      <c r="AQ186" s="20"/>
      <c r="AR186" s="20"/>
      <c r="AS186" s="20"/>
      <c r="AT186" s="20"/>
      <c r="AU186" s="20"/>
      <c r="AV186" s="20"/>
      <c r="AW186" s="16">
        <v>45471</v>
      </c>
      <c r="AX186" s="7">
        <v>2824</v>
      </c>
      <c r="BA186" s="20">
        <v>778</v>
      </c>
      <c r="BB186" s="20"/>
      <c r="BD186" s="7"/>
      <c r="CS186" s="9">
        <f t="shared" si="16"/>
        <v>778</v>
      </c>
      <c r="CT186" s="20">
        <f t="shared" si="17"/>
        <v>778</v>
      </c>
      <c r="CU186" s="20">
        <f t="shared" si="18"/>
        <v>0</v>
      </c>
      <c r="CV186" s="24">
        <f t="shared" si="19"/>
        <v>0</v>
      </c>
    </row>
    <row r="187" spans="1:103" x14ac:dyDescent="0.2">
      <c r="A187" s="7" t="s">
        <v>763</v>
      </c>
      <c r="B187" s="1">
        <v>149</v>
      </c>
      <c r="C187" s="2" t="s">
        <v>36</v>
      </c>
      <c r="D187" s="2" t="s">
        <v>37</v>
      </c>
      <c r="E187" s="1"/>
      <c r="F187" s="1"/>
      <c r="G187" s="1" t="s">
        <v>28</v>
      </c>
      <c r="H187" s="1">
        <v>5</v>
      </c>
      <c r="I187" s="18">
        <v>134.61000000000001</v>
      </c>
      <c r="J187" s="18">
        <v>41900</v>
      </c>
      <c r="K187" s="2">
        <v>0</v>
      </c>
      <c r="L187" s="2" t="s">
        <v>3</v>
      </c>
      <c r="M187" s="7" t="s">
        <v>0</v>
      </c>
      <c r="N187" s="7" t="s">
        <v>7</v>
      </c>
      <c r="O187" s="7" t="s">
        <v>674</v>
      </c>
      <c r="S187" s="7" t="s">
        <v>96</v>
      </c>
      <c r="T187" s="8" t="s">
        <v>28</v>
      </c>
      <c r="U187" s="8">
        <v>5</v>
      </c>
      <c r="V187" s="8">
        <v>134.56</v>
      </c>
      <c r="W187" s="8" t="s">
        <v>196</v>
      </c>
      <c r="X187" s="15">
        <v>44794</v>
      </c>
      <c r="Y187" s="15">
        <v>45161</v>
      </c>
      <c r="Z187" s="17" t="s">
        <v>201</v>
      </c>
      <c r="AA187" s="118">
        <v>35952</v>
      </c>
      <c r="AB187" s="7">
        <v>40</v>
      </c>
      <c r="AC187" s="7">
        <v>18</v>
      </c>
      <c r="AD187" s="15">
        <v>45442</v>
      </c>
      <c r="AE187" s="50">
        <v>778</v>
      </c>
      <c r="AF187" s="50"/>
      <c r="AG187" s="7" t="s">
        <v>72</v>
      </c>
      <c r="AH187" s="15">
        <v>45471</v>
      </c>
      <c r="AI187" s="7">
        <v>10228642</v>
      </c>
      <c r="AJ187" s="7" t="s">
        <v>677</v>
      </c>
      <c r="AK187" s="7" t="s">
        <v>738</v>
      </c>
      <c r="AL187" s="20">
        <v>778</v>
      </c>
      <c r="AM187" s="20"/>
      <c r="AN187" s="20" t="s">
        <v>707</v>
      </c>
      <c r="AO187" s="20"/>
      <c r="AP187" s="20"/>
      <c r="AQ187" s="20"/>
      <c r="AR187" s="20"/>
      <c r="AS187" s="20"/>
      <c r="AT187" s="20"/>
      <c r="AU187" s="20"/>
      <c r="AV187" s="20"/>
      <c r="AW187" s="16">
        <v>45471</v>
      </c>
      <c r="AX187" s="7">
        <v>2824</v>
      </c>
      <c r="BA187" s="20">
        <v>778</v>
      </c>
      <c r="BB187" s="20"/>
      <c r="BD187" s="7"/>
      <c r="CS187" s="9">
        <f t="shared" si="16"/>
        <v>778</v>
      </c>
      <c r="CT187" s="20">
        <f t="shared" si="17"/>
        <v>778</v>
      </c>
      <c r="CU187" s="20">
        <f t="shared" si="18"/>
        <v>0</v>
      </c>
      <c r="CV187" s="24">
        <f t="shared" si="19"/>
        <v>0</v>
      </c>
    </row>
    <row r="188" spans="1:103" x14ac:dyDescent="0.2">
      <c r="A188" s="7" t="s">
        <v>763</v>
      </c>
      <c r="B188" s="1">
        <v>149</v>
      </c>
      <c r="C188" s="2" t="s">
        <v>36</v>
      </c>
      <c r="D188" s="2" t="s">
        <v>37</v>
      </c>
      <c r="E188" s="1"/>
      <c r="F188" s="1"/>
      <c r="G188" s="1" t="s">
        <v>28</v>
      </c>
      <c r="H188" s="1">
        <v>5</v>
      </c>
      <c r="I188" s="18">
        <v>134.61000000000001</v>
      </c>
      <c r="J188" s="18">
        <v>41900</v>
      </c>
      <c r="K188" s="2">
        <v>0</v>
      </c>
      <c r="L188" s="2" t="s">
        <v>3</v>
      </c>
      <c r="M188" s="7" t="s">
        <v>0</v>
      </c>
      <c r="N188" s="7" t="s">
        <v>7</v>
      </c>
      <c r="O188" s="7" t="s">
        <v>674</v>
      </c>
      <c r="S188" s="7" t="s">
        <v>96</v>
      </c>
      <c r="T188" s="8" t="s">
        <v>28</v>
      </c>
      <c r="U188" s="8">
        <v>5</v>
      </c>
      <c r="V188" s="8">
        <v>134.56</v>
      </c>
      <c r="W188" s="8" t="s">
        <v>196</v>
      </c>
      <c r="X188" s="15">
        <v>44794</v>
      </c>
      <c r="Y188" s="15">
        <v>45161</v>
      </c>
      <c r="Z188" s="17" t="s">
        <v>201</v>
      </c>
      <c r="AA188" s="118">
        <v>35952</v>
      </c>
      <c r="AB188" s="7">
        <v>40</v>
      </c>
      <c r="AC188" s="7">
        <v>19</v>
      </c>
      <c r="AD188" s="15">
        <v>45473</v>
      </c>
      <c r="AE188" s="50">
        <v>778</v>
      </c>
      <c r="AF188" s="50"/>
      <c r="AG188" s="7" t="s">
        <v>72</v>
      </c>
      <c r="AH188" s="15">
        <v>45499</v>
      </c>
      <c r="AI188" s="7">
        <v>10228642</v>
      </c>
      <c r="AJ188" s="7" t="s">
        <v>677</v>
      </c>
      <c r="AK188" s="7" t="s">
        <v>739</v>
      </c>
      <c r="AL188" s="20">
        <v>778</v>
      </c>
      <c r="AM188" s="20"/>
      <c r="AN188" s="20" t="s">
        <v>708</v>
      </c>
      <c r="AO188" s="20"/>
      <c r="AP188" s="20"/>
      <c r="AQ188" s="20"/>
      <c r="AR188" s="20"/>
      <c r="AS188" s="20"/>
      <c r="AT188" s="20"/>
      <c r="AU188" s="20"/>
      <c r="AV188" s="20"/>
      <c r="AW188" s="16">
        <v>45498</v>
      </c>
      <c r="AX188" s="7">
        <v>2938</v>
      </c>
      <c r="BA188" s="20">
        <v>778</v>
      </c>
      <c r="BB188" s="20"/>
      <c r="BD188" s="7"/>
      <c r="CS188" s="9">
        <f t="shared" si="16"/>
        <v>778</v>
      </c>
      <c r="CT188" s="20">
        <f t="shared" si="17"/>
        <v>778</v>
      </c>
      <c r="CU188" s="20">
        <f t="shared" si="18"/>
        <v>0</v>
      </c>
      <c r="CV188" s="24">
        <f t="shared" si="19"/>
        <v>0</v>
      </c>
    </row>
    <row r="189" spans="1:103" x14ac:dyDescent="0.2">
      <c r="A189" s="7" t="s">
        <v>763</v>
      </c>
      <c r="B189" s="1">
        <v>149</v>
      </c>
      <c r="C189" s="2" t="s">
        <v>36</v>
      </c>
      <c r="D189" s="2" t="s">
        <v>37</v>
      </c>
      <c r="E189" s="1"/>
      <c r="F189" s="1"/>
      <c r="G189" s="1" t="s">
        <v>28</v>
      </c>
      <c r="H189" s="1">
        <v>5</v>
      </c>
      <c r="I189" s="18">
        <v>134.61000000000001</v>
      </c>
      <c r="J189" s="18">
        <v>41900</v>
      </c>
      <c r="K189" s="2">
        <v>0</v>
      </c>
      <c r="L189" s="2" t="s">
        <v>3</v>
      </c>
      <c r="M189" s="7" t="s">
        <v>0</v>
      </c>
      <c r="N189" s="7" t="s">
        <v>7</v>
      </c>
      <c r="O189" s="7" t="s">
        <v>674</v>
      </c>
      <c r="S189" s="7" t="s">
        <v>96</v>
      </c>
      <c r="T189" s="8" t="s">
        <v>28</v>
      </c>
      <c r="U189" s="8">
        <v>5</v>
      </c>
      <c r="V189" s="8">
        <v>134.56</v>
      </c>
      <c r="W189" s="8" t="s">
        <v>196</v>
      </c>
      <c r="X189" s="15">
        <v>44794</v>
      </c>
      <c r="Y189" s="15">
        <v>45161</v>
      </c>
      <c r="Z189" s="17" t="s">
        <v>201</v>
      </c>
      <c r="AA189" s="118">
        <v>35952</v>
      </c>
      <c r="AB189" s="7">
        <v>40</v>
      </c>
      <c r="AC189" s="7">
        <v>20</v>
      </c>
      <c r="AD189" s="15">
        <v>45503</v>
      </c>
      <c r="AE189" s="50">
        <v>778</v>
      </c>
      <c r="AF189" s="50"/>
      <c r="AG189" s="7" t="s">
        <v>72</v>
      </c>
      <c r="AH189" s="15">
        <v>45499</v>
      </c>
      <c r="AI189" s="7">
        <v>10228642</v>
      </c>
      <c r="AJ189" s="7" t="s">
        <v>677</v>
      </c>
      <c r="AK189" s="7" t="s">
        <v>740</v>
      </c>
      <c r="AL189" s="20">
        <v>778</v>
      </c>
      <c r="AM189" s="20"/>
      <c r="AN189" s="20" t="s">
        <v>709</v>
      </c>
      <c r="AO189" s="20"/>
      <c r="AP189" s="20"/>
      <c r="AQ189" s="20"/>
      <c r="AR189" s="20"/>
      <c r="AS189" s="20"/>
      <c r="AT189" s="20"/>
      <c r="AU189" s="20"/>
      <c r="AV189" s="20"/>
      <c r="AW189" s="16">
        <v>45498</v>
      </c>
      <c r="AX189" s="7">
        <v>2940</v>
      </c>
      <c r="BA189" s="20">
        <v>778</v>
      </c>
      <c r="BB189" s="20"/>
      <c r="BD189" s="7"/>
      <c r="CS189" s="9">
        <f t="shared" si="16"/>
        <v>778</v>
      </c>
      <c r="CT189" s="20">
        <f t="shared" si="17"/>
        <v>778</v>
      </c>
      <c r="CU189" s="20">
        <f t="shared" si="18"/>
        <v>0</v>
      </c>
      <c r="CV189" s="24">
        <f t="shared" si="19"/>
        <v>0</v>
      </c>
    </row>
    <row r="190" spans="1:103" x14ac:dyDescent="0.2">
      <c r="A190" s="7" t="s">
        <v>763</v>
      </c>
      <c r="B190" s="1">
        <v>149</v>
      </c>
      <c r="C190" s="2" t="s">
        <v>36</v>
      </c>
      <c r="D190" s="2" t="s">
        <v>37</v>
      </c>
      <c r="E190" s="1"/>
      <c r="F190" s="1"/>
      <c r="G190" s="1" t="s">
        <v>28</v>
      </c>
      <c r="H190" s="1">
        <v>5</v>
      </c>
      <c r="I190" s="18">
        <v>134.61000000000001</v>
      </c>
      <c r="J190" s="18">
        <v>41900</v>
      </c>
      <c r="K190" s="2">
        <v>0</v>
      </c>
      <c r="L190" s="2" t="s">
        <v>3</v>
      </c>
      <c r="M190" s="7" t="s">
        <v>0</v>
      </c>
      <c r="N190" s="7" t="s">
        <v>7</v>
      </c>
      <c r="O190" s="7" t="s">
        <v>674</v>
      </c>
      <c r="S190" s="7" t="s">
        <v>96</v>
      </c>
      <c r="T190" s="8" t="s">
        <v>28</v>
      </c>
      <c r="U190" s="8">
        <v>5</v>
      </c>
      <c r="V190" s="8">
        <v>134.56</v>
      </c>
      <c r="W190" s="8" t="s">
        <v>196</v>
      </c>
      <c r="X190" s="15">
        <v>44794</v>
      </c>
      <c r="Y190" s="15">
        <v>45161</v>
      </c>
      <c r="Z190" s="17" t="s">
        <v>201</v>
      </c>
      <c r="AA190" s="118">
        <v>35952</v>
      </c>
      <c r="AB190" s="7">
        <v>40</v>
      </c>
      <c r="AC190" s="7">
        <v>21</v>
      </c>
      <c r="AD190" s="15">
        <v>45534</v>
      </c>
      <c r="AE190" s="50">
        <v>778</v>
      </c>
      <c r="AF190" s="50"/>
      <c r="AG190" s="7" t="s">
        <v>72</v>
      </c>
      <c r="AH190" s="15">
        <v>45566</v>
      </c>
      <c r="AI190" s="7">
        <v>10228642</v>
      </c>
      <c r="AJ190" s="7" t="s">
        <v>677</v>
      </c>
      <c r="AK190" s="7" t="s">
        <v>741</v>
      </c>
      <c r="AL190" s="20">
        <v>778</v>
      </c>
      <c r="AM190" s="20"/>
      <c r="AN190" s="20" t="s">
        <v>710</v>
      </c>
      <c r="AO190" s="20"/>
      <c r="AP190" s="20"/>
      <c r="AQ190" s="20"/>
      <c r="AR190" s="20"/>
      <c r="AS190" s="20"/>
      <c r="AT190" s="20"/>
      <c r="AU190" s="20"/>
      <c r="AV190" s="20"/>
      <c r="AW190" s="16">
        <v>45545</v>
      </c>
      <c r="AX190" s="7">
        <v>3134</v>
      </c>
      <c r="BA190" s="20">
        <v>710</v>
      </c>
      <c r="BB190" s="20"/>
      <c r="BC190" s="15">
        <v>45566</v>
      </c>
      <c r="BD190" s="7">
        <v>3226</v>
      </c>
      <c r="BG190" s="7">
        <v>68</v>
      </c>
      <c r="CS190" s="9">
        <f t="shared" si="16"/>
        <v>778</v>
      </c>
      <c r="CT190" s="20">
        <f t="shared" si="17"/>
        <v>778</v>
      </c>
      <c r="CU190" s="20">
        <f t="shared" si="18"/>
        <v>0</v>
      </c>
      <c r="CV190" s="24">
        <f t="shared" si="19"/>
        <v>0</v>
      </c>
    </row>
    <row r="191" spans="1:103" x14ac:dyDescent="0.2">
      <c r="A191" s="7" t="s">
        <v>763</v>
      </c>
      <c r="B191" s="1">
        <v>149</v>
      </c>
      <c r="C191" s="2" t="s">
        <v>36</v>
      </c>
      <c r="D191" s="2" t="s">
        <v>37</v>
      </c>
      <c r="E191" s="1"/>
      <c r="F191" s="1"/>
      <c r="G191" s="1" t="s">
        <v>28</v>
      </c>
      <c r="H191" s="1">
        <v>5</v>
      </c>
      <c r="I191" s="18">
        <v>134.61000000000001</v>
      </c>
      <c r="J191" s="18">
        <v>41900</v>
      </c>
      <c r="K191" s="2">
        <v>0</v>
      </c>
      <c r="L191" s="2" t="s">
        <v>3</v>
      </c>
      <c r="M191" s="7" t="s">
        <v>0</v>
      </c>
      <c r="N191" s="7" t="s">
        <v>7</v>
      </c>
      <c r="O191" s="7" t="s">
        <v>674</v>
      </c>
      <c r="S191" s="7" t="s">
        <v>96</v>
      </c>
      <c r="T191" s="8" t="s">
        <v>28</v>
      </c>
      <c r="U191" s="8">
        <v>5</v>
      </c>
      <c r="V191" s="8">
        <v>134.56</v>
      </c>
      <c r="W191" s="8" t="s">
        <v>196</v>
      </c>
      <c r="X191" s="15">
        <v>44794</v>
      </c>
      <c r="Y191" s="15">
        <v>45161</v>
      </c>
      <c r="Z191" s="17" t="s">
        <v>201</v>
      </c>
      <c r="AA191" s="118">
        <v>35952</v>
      </c>
      <c r="AB191" s="7">
        <v>40</v>
      </c>
      <c r="AC191" s="7">
        <v>22</v>
      </c>
      <c r="AD191" s="15">
        <v>45565</v>
      </c>
      <c r="AE191" s="50">
        <v>778</v>
      </c>
      <c r="AF191" s="50"/>
      <c r="AG191" s="7" t="s">
        <v>72</v>
      </c>
      <c r="AH191" s="15">
        <v>45566</v>
      </c>
      <c r="AI191" s="7">
        <v>10228642</v>
      </c>
      <c r="AJ191" s="7" t="s">
        <v>677</v>
      </c>
      <c r="AK191" s="7" t="s">
        <v>742</v>
      </c>
      <c r="AL191" s="20">
        <v>778</v>
      </c>
      <c r="AM191" s="20"/>
      <c r="AN191" s="20" t="s">
        <v>711</v>
      </c>
      <c r="AO191" s="20"/>
      <c r="AP191" s="20"/>
      <c r="AQ191" s="20"/>
      <c r="AR191" s="20"/>
      <c r="AS191" s="20"/>
      <c r="AT191" s="20"/>
      <c r="AU191" s="20"/>
      <c r="AV191" s="20"/>
      <c r="AW191" s="16">
        <v>45566</v>
      </c>
      <c r="AX191" s="7">
        <v>3225</v>
      </c>
      <c r="BA191" s="20">
        <v>778</v>
      </c>
      <c r="BB191" s="20"/>
      <c r="BD191" s="7"/>
      <c r="CS191" s="9">
        <f t="shared" si="16"/>
        <v>778</v>
      </c>
      <c r="CT191" s="20">
        <f t="shared" si="17"/>
        <v>778</v>
      </c>
      <c r="CU191" s="20">
        <f t="shared" si="18"/>
        <v>0</v>
      </c>
      <c r="CV191" s="24">
        <f t="shared" si="19"/>
        <v>0</v>
      </c>
    </row>
    <row r="192" spans="1:103" x14ac:dyDescent="0.2">
      <c r="A192" s="7" t="s">
        <v>763</v>
      </c>
      <c r="B192" s="1">
        <v>149</v>
      </c>
      <c r="C192" s="2" t="s">
        <v>36</v>
      </c>
      <c r="D192" s="2" t="s">
        <v>37</v>
      </c>
      <c r="E192" s="1"/>
      <c r="F192" s="1"/>
      <c r="G192" s="1" t="s">
        <v>28</v>
      </c>
      <c r="H192" s="1">
        <v>5</v>
      </c>
      <c r="I192" s="18">
        <v>134.61000000000001</v>
      </c>
      <c r="J192" s="18">
        <v>41900</v>
      </c>
      <c r="K192" s="2">
        <v>0</v>
      </c>
      <c r="L192" s="2" t="s">
        <v>3</v>
      </c>
      <c r="M192" s="7" t="s">
        <v>0</v>
      </c>
      <c r="N192" s="7" t="s">
        <v>7</v>
      </c>
      <c r="O192" s="7" t="s">
        <v>674</v>
      </c>
      <c r="S192" s="7" t="s">
        <v>96</v>
      </c>
      <c r="T192" s="8" t="s">
        <v>28</v>
      </c>
      <c r="U192" s="8">
        <v>5</v>
      </c>
      <c r="V192" s="8">
        <v>134.56</v>
      </c>
      <c r="W192" s="8" t="s">
        <v>196</v>
      </c>
      <c r="X192" s="15">
        <v>44794</v>
      </c>
      <c r="Y192" s="15">
        <v>45161</v>
      </c>
      <c r="Z192" s="17" t="s">
        <v>201</v>
      </c>
      <c r="AA192" s="118">
        <v>35952</v>
      </c>
      <c r="AB192" s="7">
        <v>40</v>
      </c>
      <c r="AC192" s="7">
        <v>23</v>
      </c>
      <c r="AD192" s="15">
        <v>45595</v>
      </c>
      <c r="AE192" s="50">
        <v>778</v>
      </c>
      <c r="AF192" s="50"/>
      <c r="AG192" s="7" t="s">
        <v>72</v>
      </c>
      <c r="AH192" s="15">
        <v>45622</v>
      </c>
      <c r="AI192" s="7">
        <v>10228642</v>
      </c>
      <c r="AJ192" s="7" t="s">
        <v>677</v>
      </c>
      <c r="AK192" s="7" t="s">
        <v>743</v>
      </c>
      <c r="AL192" s="20">
        <v>778</v>
      </c>
      <c r="AM192" s="20"/>
      <c r="AN192" s="20" t="s">
        <v>712</v>
      </c>
      <c r="AO192" s="20"/>
      <c r="AP192" s="20"/>
      <c r="AQ192" s="20"/>
      <c r="AR192" s="20"/>
      <c r="AS192" s="20"/>
      <c r="AT192" s="20"/>
      <c r="AU192" s="20"/>
      <c r="AV192" s="20"/>
      <c r="AW192" s="16">
        <v>45595</v>
      </c>
      <c r="AX192" s="7">
        <v>3336</v>
      </c>
      <c r="BA192" s="20">
        <v>500</v>
      </c>
      <c r="BB192" s="20"/>
      <c r="BC192" s="15">
        <v>45621</v>
      </c>
      <c r="BD192" s="7">
        <v>3444</v>
      </c>
      <c r="BG192" s="7">
        <v>278</v>
      </c>
      <c r="CS192" s="9">
        <f t="shared" si="16"/>
        <v>778</v>
      </c>
      <c r="CT192" s="20">
        <f t="shared" si="17"/>
        <v>778</v>
      </c>
      <c r="CU192" s="20">
        <f t="shared" si="18"/>
        <v>0</v>
      </c>
      <c r="CV192" s="24">
        <f t="shared" si="19"/>
        <v>0</v>
      </c>
    </row>
    <row r="193" spans="1:103" x14ac:dyDescent="0.2">
      <c r="A193" s="7" t="s">
        <v>763</v>
      </c>
      <c r="B193" s="1">
        <v>149</v>
      </c>
      <c r="C193" s="2" t="s">
        <v>36</v>
      </c>
      <c r="D193" s="2" t="s">
        <v>37</v>
      </c>
      <c r="E193" s="1"/>
      <c r="F193" s="1"/>
      <c r="G193" s="1" t="s">
        <v>28</v>
      </c>
      <c r="H193" s="1">
        <v>5</v>
      </c>
      <c r="I193" s="18">
        <v>134.61000000000001</v>
      </c>
      <c r="J193" s="18">
        <v>41900</v>
      </c>
      <c r="K193" s="2">
        <v>0</v>
      </c>
      <c r="L193" s="2" t="s">
        <v>3</v>
      </c>
      <c r="M193" s="7" t="s">
        <v>0</v>
      </c>
      <c r="N193" s="7" t="s">
        <v>7</v>
      </c>
      <c r="O193" s="7" t="s">
        <v>674</v>
      </c>
      <c r="S193" s="7" t="s">
        <v>96</v>
      </c>
      <c r="T193" s="8" t="s">
        <v>28</v>
      </c>
      <c r="U193" s="8">
        <v>5</v>
      </c>
      <c r="V193" s="8">
        <v>134.56</v>
      </c>
      <c r="W193" s="8" t="s">
        <v>196</v>
      </c>
      <c r="X193" s="15">
        <v>44794</v>
      </c>
      <c r="Y193" s="15">
        <v>45161</v>
      </c>
      <c r="Z193" s="17" t="s">
        <v>201</v>
      </c>
      <c r="AA193" s="118">
        <v>35952</v>
      </c>
      <c r="AB193" s="7">
        <v>40</v>
      </c>
      <c r="AC193" s="7">
        <v>24</v>
      </c>
      <c r="AD193" s="15">
        <v>45626</v>
      </c>
      <c r="AE193" s="50">
        <v>778</v>
      </c>
      <c r="AF193" s="50"/>
      <c r="AG193" s="7" t="s">
        <v>72</v>
      </c>
      <c r="AH193" s="15">
        <v>45643</v>
      </c>
      <c r="AI193" s="7">
        <v>10228642</v>
      </c>
      <c r="AJ193" s="7" t="s">
        <v>677</v>
      </c>
      <c r="AK193" s="7" t="s">
        <v>744</v>
      </c>
      <c r="AL193" s="20">
        <v>778</v>
      </c>
      <c r="AM193" s="20"/>
      <c r="AN193" s="20" t="s">
        <v>713</v>
      </c>
      <c r="AO193" s="20"/>
      <c r="AP193" s="20"/>
      <c r="AQ193" s="20"/>
      <c r="AR193" s="20"/>
      <c r="AS193" s="20"/>
      <c r="AT193" s="20"/>
      <c r="AU193" s="20"/>
      <c r="AV193" s="20"/>
      <c r="AW193" s="16">
        <v>45643</v>
      </c>
      <c r="AX193" s="7">
        <v>3513</v>
      </c>
      <c r="BA193" s="20">
        <v>778</v>
      </c>
      <c r="BB193" s="20"/>
      <c r="BD193" s="7"/>
      <c r="CS193" s="9">
        <f t="shared" si="16"/>
        <v>778</v>
      </c>
      <c r="CT193" s="20">
        <f t="shared" si="17"/>
        <v>778</v>
      </c>
      <c r="CU193" s="20">
        <f t="shared" si="18"/>
        <v>0</v>
      </c>
      <c r="CV193" s="24">
        <f t="shared" si="19"/>
        <v>0</v>
      </c>
    </row>
    <row r="194" spans="1:103" x14ac:dyDescent="0.2">
      <c r="A194" s="7" t="s">
        <v>763</v>
      </c>
      <c r="B194" s="1">
        <v>149</v>
      </c>
      <c r="C194" s="2" t="s">
        <v>36</v>
      </c>
      <c r="D194" s="2" t="s">
        <v>37</v>
      </c>
      <c r="E194" s="1"/>
      <c r="F194" s="1"/>
      <c r="G194" s="1" t="s">
        <v>28</v>
      </c>
      <c r="H194" s="1">
        <v>5</v>
      </c>
      <c r="I194" s="18">
        <v>134.61000000000001</v>
      </c>
      <c r="J194" s="18">
        <v>41900</v>
      </c>
      <c r="K194" s="2">
        <v>0</v>
      </c>
      <c r="L194" s="2" t="s">
        <v>3</v>
      </c>
      <c r="M194" s="7" t="s">
        <v>0</v>
      </c>
      <c r="N194" s="7" t="s">
        <v>7</v>
      </c>
      <c r="O194" s="7" t="s">
        <v>674</v>
      </c>
      <c r="S194" s="7" t="s">
        <v>96</v>
      </c>
      <c r="T194" s="8" t="s">
        <v>28</v>
      </c>
      <c r="U194" s="8">
        <v>5</v>
      </c>
      <c r="V194" s="8">
        <v>134.56</v>
      </c>
      <c r="W194" s="8" t="s">
        <v>196</v>
      </c>
      <c r="X194" s="15">
        <v>44794</v>
      </c>
      <c r="Y194" s="15">
        <v>45161</v>
      </c>
      <c r="Z194" s="17" t="s">
        <v>201</v>
      </c>
      <c r="AA194" s="118">
        <v>35952</v>
      </c>
      <c r="AB194" s="7">
        <v>40</v>
      </c>
      <c r="AC194" s="7">
        <v>25</v>
      </c>
      <c r="AD194" s="15">
        <v>45656</v>
      </c>
      <c r="AE194" s="50">
        <v>778</v>
      </c>
      <c r="AF194" s="50"/>
      <c r="AG194" s="7" t="s">
        <v>72</v>
      </c>
      <c r="AH194" s="15">
        <v>45706</v>
      </c>
      <c r="AI194" s="7">
        <v>10228642</v>
      </c>
      <c r="AJ194" s="7" t="s">
        <v>677</v>
      </c>
      <c r="AK194" s="7" t="s">
        <v>745</v>
      </c>
      <c r="AL194" s="20">
        <v>778</v>
      </c>
      <c r="AM194" s="20"/>
      <c r="AN194" s="20" t="s">
        <v>714</v>
      </c>
      <c r="AO194" s="20"/>
      <c r="AP194" s="20"/>
      <c r="AQ194" s="20"/>
      <c r="AR194" s="20"/>
      <c r="AS194" s="20"/>
      <c r="AT194" s="20"/>
      <c r="AU194" s="20"/>
      <c r="AV194" s="20"/>
      <c r="AW194" s="16">
        <v>45706</v>
      </c>
      <c r="AX194" s="7">
        <v>3765</v>
      </c>
      <c r="BA194" s="20">
        <v>778</v>
      </c>
      <c r="BB194" s="20"/>
      <c r="BD194" s="7"/>
      <c r="CS194" s="9">
        <f t="shared" si="16"/>
        <v>778</v>
      </c>
      <c r="CT194" s="20">
        <f t="shared" si="17"/>
        <v>778</v>
      </c>
      <c r="CU194" s="20">
        <f t="shared" si="18"/>
        <v>0</v>
      </c>
      <c r="CV194" s="24">
        <f t="shared" si="19"/>
        <v>0</v>
      </c>
    </row>
    <row r="195" spans="1:103" s="25" customFormat="1" x14ac:dyDescent="0.2">
      <c r="A195" s="25" t="s">
        <v>763</v>
      </c>
      <c r="B195" s="63">
        <v>149</v>
      </c>
      <c r="C195" s="64" t="s">
        <v>36</v>
      </c>
      <c r="D195" s="64" t="s">
        <v>37</v>
      </c>
      <c r="E195" s="63"/>
      <c r="F195" s="63"/>
      <c r="G195" s="63" t="s">
        <v>28</v>
      </c>
      <c r="H195" s="63">
        <v>5</v>
      </c>
      <c r="I195" s="123">
        <v>134.61000000000001</v>
      </c>
      <c r="J195" s="123">
        <v>41900</v>
      </c>
      <c r="K195" s="64">
        <v>0</v>
      </c>
      <c r="L195" s="64" t="s">
        <v>3</v>
      </c>
      <c r="M195" s="25" t="s">
        <v>0</v>
      </c>
      <c r="N195" s="25" t="s">
        <v>7</v>
      </c>
      <c r="O195" s="25" t="s">
        <v>674</v>
      </c>
      <c r="Q195" s="124"/>
      <c r="S195" s="25" t="s">
        <v>96</v>
      </c>
      <c r="T195" s="65" t="s">
        <v>28</v>
      </c>
      <c r="U195" s="65">
        <v>5</v>
      </c>
      <c r="V195" s="65">
        <v>134.56</v>
      </c>
      <c r="W195" s="65" t="s">
        <v>196</v>
      </c>
      <c r="X195" s="66">
        <v>44794</v>
      </c>
      <c r="Y195" s="66">
        <v>45161</v>
      </c>
      <c r="Z195" s="125" t="s">
        <v>201</v>
      </c>
      <c r="AA195" s="122">
        <v>35952</v>
      </c>
      <c r="AB195" s="25">
        <v>40</v>
      </c>
      <c r="AC195" s="25">
        <v>26</v>
      </c>
      <c r="AD195" s="66">
        <v>45687</v>
      </c>
      <c r="AE195" s="126">
        <v>778</v>
      </c>
      <c r="AF195" s="126"/>
      <c r="AG195" s="25" t="s">
        <v>72</v>
      </c>
      <c r="AH195" s="66">
        <v>45716</v>
      </c>
      <c r="AI195" s="25">
        <v>10228642</v>
      </c>
      <c r="AJ195" s="25" t="s">
        <v>677</v>
      </c>
      <c r="AK195" s="25" t="s">
        <v>761</v>
      </c>
      <c r="AL195" s="26">
        <v>278</v>
      </c>
      <c r="AM195" s="26"/>
      <c r="AN195" s="26" t="s">
        <v>715</v>
      </c>
      <c r="AO195" s="25" t="s">
        <v>72</v>
      </c>
      <c r="AP195" s="66">
        <v>45742</v>
      </c>
      <c r="AQ195" s="25">
        <v>10228642</v>
      </c>
      <c r="AR195" s="25" t="s">
        <v>677</v>
      </c>
      <c r="AS195" s="25" t="s">
        <v>762</v>
      </c>
      <c r="AT195" s="26">
        <v>500</v>
      </c>
      <c r="AU195" s="26"/>
      <c r="AV195" s="26" t="s">
        <v>716</v>
      </c>
      <c r="AW195" s="127">
        <v>45706</v>
      </c>
      <c r="AX195" s="25">
        <v>3766</v>
      </c>
      <c r="BA195" s="26">
        <v>778</v>
      </c>
      <c r="BB195" s="26"/>
      <c r="CS195" s="26">
        <f t="shared" si="16"/>
        <v>778</v>
      </c>
      <c r="CT195" s="26">
        <f t="shared" si="17"/>
        <v>778</v>
      </c>
      <c r="CU195" s="26">
        <f t="shared" si="18"/>
        <v>0</v>
      </c>
      <c r="CV195" s="128">
        <f t="shared" si="19"/>
        <v>0</v>
      </c>
    </row>
    <row r="196" spans="1:103" x14ac:dyDescent="0.2">
      <c r="A196" s="7" t="s">
        <v>763</v>
      </c>
      <c r="B196" s="1">
        <v>149</v>
      </c>
      <c r="C196" s="2" t="s">
        <v>36</v>
      </c>
      <c r="D196" s="2" t="s">
        <v>37</v>
      </c>
      <c r="E196" s="1"/>
      <c r="F196" s="1"/>
      <c r="G196" s="1" t="s">
        <v>28</v>
      </c>
      <c r="H196" s="1">
        <v>5</v>
      </c>
      <c r="I196" s="18">
        <v>134.61000000000001</v>
      </c>
      <c r="J196" s="18">
        <v>41900</v>
      </c>
      <c r="K196" s="2">
        <v>0</v>
      </c>
      <c r="L196" s="2" t="s">
        <v>3</v>
      </c>
      <c r="M196" s="7" t="s">
        <v>0</v>
      </c>
      <c r="N196" s="7" t="s">
        <v>7</v>
      </c>
      <c r="O196" s="7" t="s">
        <v>674</v>
      </c>
      <c r="S196" s="7" t="s">
        <v>96</v>
      </c>
      <c r="T196" s="8" t="s">
        <v>28</v>
      </c>
      <c r="U196" s="8">
        <v>5</v>
      </c>
      <c r="V196" s="8">
        <v>134.56</v>
      </c>
      <c r="W196" s="8" t="s">
        <v>196</v>
      </c>
      <c r="X196" s="15">
        <v>44794</v>
      </c>
      <c r="Y196" s="15">
        <v>45161</v>
      </c>
      <c r="Z196" s="17" t="s">
        <v>201</v>
      </c>
      <c r="AA196" s="118">
        <v>35952</v>
      </c>
      <c r="AB196" s="7">
        <v>40</v>
      </c>
      <c r="AC196" s="7">
        <v>27</v>
      </c>
      <c r="AD196" s="15">
        <v>45716</v>
      </c>
      <c r="AE196" s="50">
        <v>778</v>
      </c>
      <c r="AF196" s="50"/>
      <c r="AG196" s="7" t="s">
        <v>72</v>
      </c>
      <c r="AH196" s="15">
        <v>45800</v>
      </c>
      <c r="AI196" s="7">
        <v>10228642</v>
      </c>
      <c r="AJ196" s="7" t="s">
        <v>677</v>
      </c>
      <c r="AK196" s="7" t="s">
        <v>746</v>
      </c>
      <c r="AL196" s="20">
        <v>778</v>
      </c>
      <c r="AM196" s="20"/>
      <c r="AN196" s="20" t="s">
        <v>717</v>
      </c>
      <c r="AO196" s="20"/>
      <c r="AP196" s="20"/>
      <c r="AQ196" s="20"/>
      <c r="AR196" s="20"/>
      <c r="AS196" s="20"/>
      <c r="AT196" s="20"/>
      <c r="AU196" s="20"/>
      <c r="AV196" s="20"/>
      <c r="AW196" s="16">
        <v>45776</v>
      </c>
      <c r="AX196" s="7">
        <v>4079</v>
      </c>
      <c r="BA196" s="20">
        <v>500</v>
      </c>
      <c r="BB196" s="20"/>
      <c r="BC196" s="15">
        <v>45804</v>
      </c>
      <c r="BD196" s="7">
        <v>4218</v>
      </c>
      <c r="BG196" s="7">
        <v>68</v>
      </c>
      <c r="CS196" s="9">
        <f t="shared" si="16"/>
        <v>778</v>
      </c>
      <c r="CT196" s="20">
        <f t="shared" si="17"/>
        <v>568</v>
      </c>
      <c r="CU196" s="20">
        <f t="shared" si="18"/>
        <v>210</v>
      </c>
      <c r="CV196" s="24">
        <f t="shared" si="19"/>
        <v>0</v>
      </c>
      <c r="CW196" s="7" t="s">
        <v>874</v>
      </c>
      <c r="CY196" s="7" t="s">
        <v>873</v>
      </c>
    </row>
    <row r="197" spans="1:103" x14ac:dyDescent="0.2">
      <c r="A197" s="7" t="s">
        <v>763</v>
      </c>
      <c r="B197" s="1">
        <v>149</v>
      </c>
      <c r="C197" s="2" t="s">
        <v>36</v>
      </c>
      <c r="D197" s="2" t="s">
        <v>37</v>
      </c>
      <c r="E197" s="1"/>
      <c r="F197" s="1"/>
      <c r="G197" s="1" t="s">
        <v>28</v>
      </c>
      <c r="H197" s="1">
        <v>5</v>
      </c>
      <c r="I197" s="18">
        <v>134.61000000000001</v>
      </c>
      <c r="J197" s="18">
        <v>41900</v>
      </c>
      <c r="K197" s="2">
        <v>0</v>
      </c>
      <c r="L197" s="2" t="s">
        <v>3</v>
      </c>
      <c r="M197" s="7" t="s">
        <v>0</v>
      </c>
      <c r="N197" s="7" t="s">
        <v>7</v>
      </c>
      <c r="O197" s="7" t="s">
        <v>674</v>
      </c>
      <c r="S197" s="7" t="s">
        <v>96</v>
      </c>
      <c r="T197" s="8" t="s">
        <v>28</v>
      </c>
      <c r="U197" s="8">
        <v>5</v>
      </c>
      <c r="V197" s="8">
        <v>134.56</v>
      </c>
      <c r="W197" s="8" t="s">
        <v>196</v>
      </c>
      <c r="X197" s="15">
        <v>44794</v>
      </c>
      <c r="Y197" s="15">
        <v>45161</v>
      </c>
      <c r="Z197" s="17" t="s">
        <v>201</v>
      </c>
      <c r="AA197" s="118">
        <v>35952</v>
      </c>
      <c r="AB197" s="7">
        <v>40</v>
      </c>
      <c r="AC197" s="7">
        <v>28</v>
      </c>
      <c r="AD197" s="15">
        <v>45746</v>
      </c>
      <c r="AE197" s="50">
        <v>778</v>
      </c>
      <c r="AF197" s="50"/>
      <c r="AG197" s="7" t="s">
        <v>72</v>
      </c>
      <c r="AH197" s="15">
        <v>45828</v>
      </c>
      <c r="AI197" s="7">
        <v>10228642</v>
      </c>
      <c r="AJ197" s="7" t="s">
        <v>677</v>
      </c>
      <c r="AK197" s="7" t="s">
        <v>747</v>
      </c>
      <c r="AL197" s="20">
        <v>778</v>
      </c>
      <c r="AM197" s="20"/>
      <c r="AN197" s="20" t="s">
        <v>718</v>
      </c>
      <c r="AO197" s="20"/>
      <c r="AP197" s="20"/>
      <c r="AQ197" s="20"/>
      <c r="AR197" s="20"/>
      <c r="AS197" s="20"/>
      <c r="AT197" s="20"/>
      <c r="AU197" s="20"/>
      <c r="AV197" s="20"/>
      <c r="AW197" s="16">
        <v>45827</v>
      </c>
      <c r="AX197" s="7">
        <v>4322</v>
      </c>
      <c r="BA197" s="20">
        <v>778</v>
      </c>
      <c r="BB197" s="20"/>
      <c r="BD197" s="7"/>
      <c r="CS197" s="9">
        <f t="shared" si="16"/>
        <v>778</v>
      </c>
      <c r="CT197" s="20">
        <f t="shared" si="17"/>
        <v>778</v>
      </c>
      <c r="CU197" s="20">
        <f t="shared" si="18"/>
        <v>0</v>
      </c>
      <c r="CV197" s="24">
        <f t="shared" si="19"/>
        <v>0</v>
      </c>
    </row>
    <row r="198" spans="1:103" x14ac:dyDescent="0.2">
      <c r="A198" s="7" t="s">
        <v>763</v>
      </c>
      <c r="B198" s="1">
        <v>149</v>
      </c>
      <c r="C198" s="2" t="s">
        <v>36</v>
      </c>
      <c r="D198" s="2" t="s">
        <v>37</v>
      </c>
      <c r="E198" s="1"/>
      <c r="F198" s="1"/>
      <c r="G198" s="1" t="s">
        <v>28</v>
      </c>
      <c r="H198" s="1">
        <v>5</v>
      </c>
      <c r="I198" s="18">
        <v>134.61000000000001</v>
      </c>
      <c r="J198" s="18">
        <v>41900</v>
      </c>
      <c r="K198" s="2">
        <v>0</v>
      </c>
      <c r="L198" s="2" t="s">
        <v>3</v>
      </c>
      <c r="M198" s="7" t="s">
        <v>0</v>
      </c>
      <c r="N198" s="7" t="s">
        <v>7</v>
      </c>
      <c r="O198" s="7" t="s">
        <v>674</v>
      </c>
      <c r="S198" s="7" t="s">
        <v>96</v>
      </c>
      <c r="T198" s="8" t="s">
        <v>28</v>
      </c>
      <c r="U198" s="8">
        <v>5</v>
      </c>
      <c r="V198" s="8">
        <v>134.56</v>
      </c>
      <c r="W198" s="8" t="s">
        <v>196</v>
      </c>
      <c r="X198" s="15">
        <v>44794</v>
      </c>
      <c r="Y198" s="15">
        <v>45161</v>
      </c>
      <c r="Z198" s="17" t="s">
        <v>201</v>
      </c>
      <c r="AA198" s="118">
        <v>35952</v>
      </c>
      <c r="AB198" s="7">
        <v>40</v>
      </c>
      <c r="AC198" s="7">
        <v>29</v>
      </c>
      <c r="AD198" s="15">
        <v>45777</v>
      </c>
      <c r="AE198" s="50">
        <v>778</v>
      </c>
      <c r="AF198" s="50"/>
      <c r="AG198" s="7" t="s">
        <v>72</v>
      </c>
      <c r="AH198" s="15">
        <v>45862</v>
      </c>
      <c r="AI198" s="7">
        <v>10228642</v>
      </c>
      <c r="AJ198" s="7" t="s">
        <v>677</v>
      </c>
      <c r="AK198" s="7" t="s">
        <v>748</v>
      </c>
      <c r="AL198" s="20">
        <v>778</v>
      </c>
      <c r="AM198" s="20"/>
      <c r="AN198" s="20" t="s">
        <v>719</v>
      </c>
      <c r="AO198" s="20"/>
      <c r="AP198" s="20"/>
      <c r="AQ198" s="20"/>
      <c r="AR198" s="20"/>
      <c r="AS198" s="20"/>
      <c r="AT198" s="20"/>
      <c r="AU198" s="20"/>
      <c r="AV198" s="20"/>
      <c r="AW198" s="16">
        <v>45862</v>
      </c>
      <c r="AX198" s="7">
        <v>4467</v>
      </c>
      <c r="BA198" s="20">
        <v>778</v>
      </c>
      <c r="BB198" s="20"/>
      <c r="BD198" s="7"/>
      <c r="CS198" s="9">
        <f t="shared" si="16"/>
        <v>778</v>
      </c>
      <c r="CT198" s="20">
        <f t="shared" si="17"/>
        <v>778</v>
      </c>
      <c r="CU198" s="20">
        <f t="shared" si="18"/>
        <v>0</v>
      </c>
      <c r="CV198" s="24">
        <f t="shared" si="19"/>
        <v>0</v>
      </c>
    </row>
    <row r="199" spans="1:103" x14ac:dyDescent="0.2">
      <c r="A199" s="7" t="s">
        <v>763</v>
      </c>
      <c r="B199" s="1">
        <v>149</v>
      </c>
      <c r="C199" s="2" t="s">
        <v>36</v>
      </c>
      <c r="D199" s="2" t="s">
        <v>37</v>
      </c>
      <c r="E199" s="1"/>
      <c r="F199" s="1"/>
      <c r="G199" s="1" t="s">
        <v>28</v>
      </c>
      <c r="H199" s="1">
        <v>5</v>
      </c>
      <c r="I199" s="18">
        <v>134.61000000000001</v>
      </c>
      <c r="J199" s="18">
        <v>41900</v>
      </c>
      <c r="K199" s="2">
        <v>0</v>
      </c>
      <c r="L199" s="2" t="s">
        <v>3</v>
      </c>
      <c r="M199" s="7" t="s">
        <v>0</v>
      </c>
      <c r="N199" s="7" t="s">
        <v>7</v>
      </c>
      <c r="O199" s="7" t="s">
        <v>674</v>
      </c>
      <c r="S199" s="7" t="s">
        <v>96</v>
      </c>
      <c r="T199" s="8" t="s">
        <v>28</v>
      </c>
      <c r="U199" s="8">
        <v>5</v>
      </c>
      <c r="V199" s="8">
        <v>134.56</v>
      </c>
      <c r="W199" s="8" t="s">
        <v>196</v>
      </c>
      <c r="X199" s="15">
        <v>44794</v>
      </c>
      <c r="Y199" s="15">
        <v>45161</v>
      </c>
      <c r="Z199" s="17" t="s">
        <v>201</v>
      </c>
      <c r="AA199" s="118">
        <v>35952</v>
      </c>
      <c r="AB199" s="7">
        <v>40</v>
      </c>
      <c r="AC199" s="7">
        <v>30</v>
      </c>
      <c r="AD199" s="15">
        <v>45807</v>
      </c>
      <c r="AE199" s="50">
        <v>778</v>
      </c>
      <c r="AF199" s="50"/>
      <c r="AG199" s="7" t="s">
        <v>72</v>
      </c>
      <c r="AH199" s="15">
        <v>45896</v>
      </c>
      <c r="AI199" s="7">
        <v>10228642</v>
      </c>
      <c r="AJ199" s="7" t="s">
        <v>677</v>
      </c>
      <c r="AK199" s="7" t="s">
        <v>749</v>
      </c>
      <c r="AL199" s="20">
        <v>778</v>
      </c>
      <c r="AM199" s="20"/>
      <c r="AN199" s="20" t="s">
        <v>720</v>
      </c>
      <c r="AO199" s="20"/>
      <c r="AP199" s="20"/>
      <c r="AQ199" s="20"/>
      <c r="AR199" s="20"/>
      <c r="AS199" s="20"/>
      <c r="AT199" s="20"/>
      <c r="AU199" s="20"/>
      <c r="AV199" s="20"/>
      <c r="AW199" s="16">
        <v>45895</v>
      </c>
      <c r="AX199" s="7">
        <v>4611</v>
      </c>
      <c r="BA199" s="20">
        <v>778</v>
      </c>
      <c r="BB199" s="20"/>
      <c r="BD199" s="7"/>
      <c r="CS199" s="9">
        <f t="shared" si="16"/>
        <v>778</v>
      </c>
      <c r="CT199" s="20">
        <f t="shared" si="17"/>
        <v>778</v>
      </c>
      <c r="CU199" s="20">
        <f t="shared" si="18"/>
        <v>0</v>
      </c>
      <c r="CV199" s="24">
        <f t="shared" si="19"/>
        <v>0</v>
      </c>
    </row>
    <row r="200" spans="1:103" x14ac:dyDescent="0.2">
      <c r="A200" s="7" t="s">
        <v>763</v>
      </c>
      <c r="B200" s="1">
        <v>149</v>
      </c>
      <c r="C200" s="2" t="s">
        <v>36</v>
      </c>
      <c r="D200" s="2" t="s">
        <v>37</v>
      </c>
      <c r="E200" s="1"/>
      <c r="F200" s="1"/>
      <c r="G200" s="1" t="s">
        <v>28</v>
      </c>
      <c r="H200" s="1">
        <v>5</v>
      </c>
      <c r="I200" s="18">
        <v>134.61000000000001</v>
      </c>
      <c r="J200" s="18">
        <v>41900</v>
      </c>
      <c r="K200" s="2">
        <v>0</v>
      </c>
      <c r="L200" s="2" t="s">
        <v>3</v>
      </c>
      <c r="M200" s="7" t="s">
        <v>0</v>
      </c>
      <c r="N200" s="7" t="s">
        <v>7</v>
      </c>
      <c r="O200" s="7" t="s">
        <v>674</v>
      </c>
      <c r="S200" s="7" t="s">
        <v>96</v>
      </c>
      <c r="T200" s="8" t="s">
        <v>28</v>
      </c>
      <c r="U200" s="8">
        <v>5</v>
      </c>
      <c r="V200" s="8">
        <v>134.56</v>
      </c>
      <c r="W200" s="8" t="s">
        <v>196</v>
      </c>
      <c r="X200" s="15">
        <v>44794</v>
      </c>
      <c r="Y200" s="15">
        <v>45161</v>
      </c>
      <c r="Z200" s="17" t="s">
        <v>201</v>
      </c>
      <c r="AA200" s="118">
        <v>35952</v>
      </c>
      <c r="AB200" s="7">
        <v>40</v>
      </c>
      <c r="AC200" s="7">
        <v>31</v>
      </c>
      <c r="AD200" s="15">
        <v>45838</v>
      </c>
      <c r="AE200" s="50">
        <v>778</v>
      </c>
      <c r="AF200" s="5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BA200" s="20"/>
      <c r="BB200" s="20"/>
      <c r="BD200" s="7"/>
      <c r="CS200" s="9">
        <f t="shared" si="16"/>
        <v>0</v>
      </c>
      <c r="CT200" s="20">
        <f t="shared" si="17"/>
        <v>0</v>
      </c>
      <c r="CU200" s="20">
        <f t="shared" si="18"/>
        <v>0</v>
      </c>
      <c r="CV200" s="24">
        <f t="shared" si="19"/>
        <v>778</v>
      </c>
    </row>
    <row r="201" spans="1:103" x14ac:dyDescent="0.2">
      <c r="A201" s="7" t="s">
        <v>763</v>
      </c>
      <c r="B201" s="1">
        <v>149</v>
      </c>
      <c r="C201" s="2" t="s">
        <v>36</v>
      </c>
      <c r="D201" s="2" t="s">
        <v>37</v>
      </c>
      <c r="E201" s="1"/>
      <c r="F201" s="1"/>
      <c r="G201" s="1" t="s">
        <v>28</v>
      </c>
      <c r="H201" s="1">
        <v>5</v>
      </c>
      <c r="I201" s="18">
        <v>134.61000000000001</v>
      </c>
      <c r="J201" s="18">
        <v>41900</v>
      </c>
      <c r="K201" s="2">
        <v>0</v>
      </c>
      <c r="L201" s="2" t="s">
        <v>3</v>
      </c>
      <c r="M201" s="7" t="s">
        <v>0</v>
      </c>
      <c r="N201" s="7" t="s">
        <v>7</v>
      </c>
      <c r="O201" s="7" t="s">
        <v>674</v>
      </c>
      <c r="S201" s="7" t="s">
        <v>96</v>
      </c>
      <c r="T201" s="8" t="s">
        <v>28</v>
      </c>
      <c r="U201" s="8">
        <v>5</v>
      </c>
      <c r="V201" s="8">
        <v>134.56</v>
      </c>
      <c r="W201" s="8" t="s">
        <v>196</v>
      </c>
      <c r="X201" s="15">
        <v>44794</v>
      </c>
      <c r="Y201" s="15">
        <v>45161</v>
      </c>
      <c r="Z201" s="17" t="s">
        <v>201</v>
      </c>
      <c r="AA201" s="118">
        <v>35952</v>
      </c>
      <c r="AB201" s="7">
        <v>40</v>
      </c>
      <c r="AC201" s="7">
        <v>32</v>
      </c>
      <c r="AD201" s="15">
        <v>45868</v>
      </c>
      <c r="AE201" s="50">
        <v>778</v>
      </c>
      <c r="AF201" s="5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BA201" s="20"/>
      <c r="BB201" s="20"/>
      <c r="BD201" s="7"/>
      <c r="CS201" s="9">
        <f t="shared" si="16"/>
        <v>0</v>
      </c>
      <c r="CT201" s="20">
        <f t="shared" si="17"/>
        <v>0</v>
      </c>
      <c r="CU201" s="20">
        <f t="shared" si="18"/>
        <v>0</v>
      </c>
      <c r="CV201" s="24">
        <f t="shared" si="19"/>
        <v>778</v>
      </c>
    </row>
    <row r="202" spans="1:103" x14ac:dyDescent="0.2">
      <c r="A202" s="7" t="s">
        <v>763</v>
      </c>
      <c r="B202" s="1">
        <v>149</v>
      </c>
      <c r="C202" s="2" t="s">
        <v>36</v>
      </c>
      <c r="D202" s="2" t="s">
        <v>37</v>
      </c>
      <c r="E202" s="1"/>
      <c r="F202" s="1"/>
      <c r="G202" s="1" t="s">
        <v>28</v>
      </c>
      <c r="H202" s="1">
        <v>5</v>
      </c>
      <c r="I202" s="18">
        <v>134.61000000000001</v>
      </c>
      <c r="J202" s="18">
        <v>41900</v>
      </c>
      <c r="K202" s="2">
        <v>0</v>
      </c>
      <c r="L202" s="2" t="s">
        <v>3</v>
      </c>
      <c r="M202" s="7" t="s">
        <v>0</v>
      </c>
      <c r="N202" s="7" t="s">
        <v>7</v>
      </c>
      <c r="O202" s="7" t="s">
        <v>674</v>
      </c>
      <c r="S202" s="7" t="s">
        <v>96</v>
      </c>
      <c r="T202" s="8" t="s">
        <v>28</v>
      </c>
      <c r="U202" s="8">
        <v>5</v>
      </c>
      <c r="V202" s="8">
        <v>134.56</v>
      </c>
      <c r="W202" s="8" t="s">
        <v>196</v>
      </c>
      <c r="X202" s="15">
        <v>44794</v>
      </c>
      <c r="Y202" s="15">
        <v>45161</v>
      </c>
      <c r="Z202" s="17" t="s">
        <v>201</v>
      </c>
      <c r="AA202" s="118">
        <v>35952</v>
      </c>
      <c r="AB202" s="7">
        <v>40</v>
      </c>
      <c r="AC202" s="7">
        <v>33</v>
      </c>
      <c r="AD202" s="15">
        <v>45899</v>
      </c>
      <c r="AE202" s="50">
        <v>778</v>
      </c>
      <c r="AF202" s="5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BA202" s="20"/>
      <c r="BB202" s="20"/>
      <c r="BD202" s="7"/>
      <c r="CS202" s="9">
        <f t="shared" si="16"/>
        <v>0</v>
      </c>
      <c r="CT202" s="20">
        <f t="shared" si="17"/>
        <v>0</v>
      </c>
      <c r="CU202" s="20">
        <f t="shared" si="18"/>
        <v>0</v>
      </c>
      <c r="CV202" s="24">
        <f t="shared" si="19"/>
        <v>778</v>
      </c>
    </row>
    <row r="203" spans="1:103" x14ac:dyDescent="0.2">
      <c r="A203" s="7" t="s">
        <v>763</v>
      </c>
      <c r="B203" s="1">
        <v>149</v>
      </c>
      <c r="C203" s="2" t="s">
        <v>36</v>
      </c>
      <c r="D203" s="2" t="s">
        <v>37</v>
      </c>
      <c r="E203" s="1"/>
      <c r="F203" s="1"/>
      <c r="G203" s="1" t="s">
        <v>28</v>
      </c>
      <c r="H203" s="1">
        <v>5</v>
      </c>
      <c r="I203" s="18">
        <v>134.61000000000001</v>
      </c>
      <c r="J203" s="18">
        <v>41900</v>
      </c>
      <c r="K203" s="2">
        <v>0</v>
      </c>
      <c r="L203" s="2" t="s">
        <v>3</v>
      </c>
      <c r="M203" s="7" t="s">
        <v>0</v>
      </c>
      <c r="N203" s="7" t="s">
        <v>7</v>
      </c>
      <c r="O203" s="7" t="s">
        <v>674</v>
      </c>
      <c r="S203" s="7" t="s">
        <v>96</v>
      </c>
      <c r="T203" s="8" t="s">
        <v>28</v>
      </c>
      <c r="U203" s="8">
        <v>5</v>
      </c>
      <c r="V203" s="8">
        <v>134.56</v>
      </c>
      <c r="W203" s="8" t="s">
        <v>196</v>
      </c>
      <c r="X203" s="15">
        <v>44794</v>
      </c>
      <c r="Y203" s="15">
        <v>45161</v>
      </c>
      <c r="Z203" s="17" t="s">
        <v>201</v>
      </c>
      <c r="AA203" s="118">
        <v>35952</v>
      </c>
      <c r="AB203" s="7">
        <v>40</v>
      </c>
      <c r="AC203" s="7">
        <v>34</v>
      </c>
      <c r="AD203" s="15">
        <v>45930</v>
      </c>
      <c r="AE203" s="50">
        <v>778</v>
      </c>
      <c r="AF203" s="5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BA203" s="20"/>
      <c r="BB203" s="20"/>
      <c r="BD203" s="7"/>
      <c r="CS203" s="9">
        <f t="shared" si="16"/>
        <v>0</v>
      </c>
      <c r="CT203" s="20">
        <f t="shared" si="17"/>
        <v>0</v>
      </c>
      <c r="CU203" s="20">
        <f t="shared" si="18"/>
        <v>0</v>
      </c>
      <c r="CV203" s="24">
        <f t="shared" si="19"/>
        <v>778</v>
      </c>
    </row>
    <row r="204" spans="1:103" x14ac:dyDescent="0.2">
      <c r="A204" s="7" t="s">
        <v>763</v>
      </c>
      <c r="B204" s="1">
        <v>149</v>
      </c>
      <c r="C204" s="2" t="s">
        <v>36</v>
      </c>
      <c r="D204" s="2" t="s">
        <v>37</v>
      </c>
      <c r="E204" s="1"/>
      <c r="F204" s="1"/>
      <c r="G204" s="1" t="s">
        <v>28</v>
      </c>
      <c r="H204" s="1">
        <v>5</v>
      </c>
      <c r="I204" s="18">
        <v>134.61000000000001</v>
      </c>
      <c r="J204" s="18">
        <v>41900</v>
      </c>
      <c r="K204" s="2">
        <v>0</v>
      </c>
      <c r="L204" s="2" t="s">
        <v>3</v>
      </c>
      <c r="M204" s="7" t="s">
        <v>0</v>
      </c>
      <c r="N204" s="7" t="s">
        <v>7</v>
      </c>
      <c r="O204" s="7" t="s">
        <v>674</v>
      </c>
      <c r="S204" s="7" t="s">
        <v>96</v>
      </c>
      <c r="T204" s="8" t="s">
        <v>28</v>
      </c>
      <c r="U204" s="8">
        <v>5</v>
      </c>
      <c r="V204" s="8">
        <v>134.56</v>
      </c>
      <c r="W204" s="8" t="s">
        <v>196</v>
      </c>
      <c r="X204" s="15">
        <v>44794</v>
      </c>
      <c r="Y204" s="15">
        <v>45161</v>
      </c>
      <c r="Z204" s="17" t="s">
        <v>201</v>
      </c>
      <c r="AA204" s="118">
        <v>35952</v>
      </c>
      <c r="AB204" s="7">
        <v>40</v>
      </c>
      <c r="AC204" s="7">
        <v>35</v>
      </c>
      <c r="AD204" s="15">
        <v>45960</v>
      </c>
      <c r="AE204" s="50">
        <v>778</v>
      </c>
      <c r="AF204" s="5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BA204" s="20"/>
      <c r="BB204" s="20"/>
      <c r="BD204" s="7"/>
      <c r="CS204" s="9">
        <f t="shared" si="16"/>
        <v>0</v>
      </c>
      <c r="CT204" s="20">
        <f t="shared" si="17"/>
        <v>0</v>
      </c>
      <c r="CU204" s="20">
        <f t="shared" si="18"/>
        <v>0</v>
      </c>
      <c r="CV204" s="24">
        <f t="shared" si="19"/>
        <v>778</v>
      </c>
    </row>
    <row r="205" spans="1:103" x14ac:dyDescent="0.2">
      <c r="A205" s="7" t="s">
        <v>763</v>
      </c>
      <c r="B205" s="1">
        <v>149</v>
      </c>
      <c r="C205" s="2" t="s">
        <v>36</v>
      </c>
      <c r="D205" s="2" t="s">
        <v>37</v>
      </c>
      <c r="E205" s="1"/>
      <c r="F205" s="1"/>
      <c r="G205" s="1" t="s">
        <v>28</v>
      </c>
      <c r="H205" s="1">
        <v>5</v>
      </c>
      <c r="I205" s="18">
        <v>134.61000000000001</v>
      </c>
      <c r="J205" s="18">
        <v>41900</v>
      </c>
      <c r="K205" s="2">
        <v>0</v>
      </c>
      <c r="L205" s="2" t="s">
        <v>3</v>
      </c>
      <c r="M205" s="7" t="s">
        <v>0</v>
      </c>
      <c r="N205" s="7" t="s">
        <v>7</v>
      </c>
      <c r="O205" s="7" t="s">
        <v>674</v>
      </c>
      <c r="S205" s="7" t="s">
        <v>96</v>
      </c>
      <c r="T205" s="8" t="s">
        <v>28</v>
      </c>
      <c r="U205" s="8">
        <v>5</v>
      </c>
      <c r="V205" s="8">
        <v>134.56</v>
      </c>
      <c r="W205" s="8" t="s">
        <v>196</v>
      </c>
      <c r="X205" s="15">
        <v>44794</v>
      </c>
      <c r="Y205" s="15">
        <v>45161</v>
      </c>
      <c r="Z205" s="17" t="s">
        <v>201</v>
      </c>
      <c r="AA205" s="118">
        <v>35952</v>
      </c>
      <c r="AB205" s="7">
        <v>40</v>
      </c>
      <c r="AC205" s="7">
        <v>36</v>
      </c>
      <c r="AD205" s="15">
        <v>45991</v>
      </c>
      <c r="AE205" s="50">
        <v>778</v>
      </c>
      <c r="AF205" s="5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BA205" s="20"/>
      <c r="BB205" s="20"/>
      <c r="BD205" s="7"/>
      <c r="CS205" s="9">
        <f t="shared" si="16"/>
        <v>0</v>
      </c>
      <c r="CT205" s="20">
        <f t="shared" si="17"/>
        <v>0</v>
      </c>
      <c r="CU205" s="20">
        <f t="shared" si="18"/>
        <v>0</v>
      </c>
      <c r="CV205" s="24">
        <f t="shared" si="19"/>
        <v>778</v>
      </c>
    </row>
    <row r="206" spans="1:103" x14ac:dyDescent="0.2">
      <c r="A206" s="7" t="s">
        <v>763</v>
      </c>
      <c r="B206" s="1">
        <v>149</v>
      </c>
      <c r="C206" s="2" t="s">
        <v>36</v>
      </c>
      <c r="D206" s="2" t="s">
        <v>37</v>
      </c>
      <c r="E206" s="1"/>
      <c r="F206" s="1"/>
      <c r="G206" s="1" t="s">
        <v>28</v>
      </c>
      <c r="H206" s="1">
        <v>5</v>
      </c>
      <c r="I206" s="18">
        <v>134.61000000000001</v>
      </c>
      <c r="J206" s="18">
        <v>41900</v>
      </c>
      <c r="K206" s="2">
        <v>0</v>
      </c>
      <c r="L206" s="2" t="s">
        <v>3</v>
      </c>
      <c r="M206" s="7" t="s">
        <v>0</v>
      </c>
      <c r="N206" s="7" t="s">
        <v>7</v>
      </c>
      <c r="O206" s="7" t="s">
        <v>674</v>
      </c>
      <c r="S206" s="7" t="s">
        <v>96</v>
      </c>
      <c r="T206" s="8" t="s">
        <v>28</v>
      </c>
      <c r="U206" s="8">
        <v>5</v>
      </c>
      <c r="V206" s="8">
        <v>134.56</v>
      </c>
      <c r="W206" s="8" t="s">
        <v>196</v>
      </c>
      <c r="X206" s="15">
        <v>44794</v>
      </c>
      <c r="Y206" s="15">
        <v>45161</v>
      </c>
      <c r="Z206" s="17" t="s">
        <v>201</v>
      </c>
      <c r="AA206" s="118">
        <v>35952</v>
      </c>
      <c r="AB206" s="7">
        <v>40</v>
      </c>
      <c r="AC206" s="7">
        <v>37</v>
      </c>
      <c r="AD206" s="15">
        <v>46021</v>
      </c>
      <c r="AE206" s="50">
        <v>778</v>
      </c>
      <c r="AF206" s="5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BA206" s="20"/>
      <c r="BB206" s="20"/>
      <c r="BD206" s="7"/>
      <c r="CS206" s="9">
        <f t="shared" si="16"/>
        <v>0</v>
      </c>
      <c r="CT206" s="20">
        <f t="shared" si="17"/>
        <v>0</v>
      </c>
      <c r="CU206" s="20">
        <f t="shared" si="18"/>
        <v>0</v>
      </c>
      <c r="CV206" s="24">
        <f t="shared" si="19"/>
        <v>778</v>
      </c>
    </row>
    <row r="207" spans="1:103" x14ac:dyDescent="0.2">
      <c r="A207" s="7" t="s">
        <v>763</v>
      </c>
      <c r="B207" s="1">
        <v>149</v>
      </c>
      <c r="C207" s="2" t="s">
        <v>36</v>
      </c>
      <c r="D207" s="2" t="s">
        <v>37</v>
      </c>
      <c r="E207" s="1"/>
      <c r="F207" s="1"/>
      <c r="G207" s="1" t="s">
        <v>28</v>
      </c>
      <c r="H207" s="1">
        <v>5</v>
      </c>
      <c r="I207" s="18">
        <v>134.61000000000001</v>
      </c>
      <c r="J207" s="18">
        <v>41900</v>
      </c>
      <c r="K207" s="2">
        <v>0</v>
      </c>
      <c r="L207" s="2" t="s">
        <v>3</v>
      </c>
      <c r="M207" s="7" t="s">
        <v>0</v>
      </c>
      <c r="N207" s="7" t="s">
        <v>7</v>
      </c>
      <c r="O207" s="7" t="s">
        <v>674</v>
      </c>
      <c r="S207" s="7" t="s">
        <v>96</v>
      </c>
      <c r="T207" s="8" t="s">
        <v>28</v>
      </c>
      <c r="U207" s="8">
        <v>5</v>
      </c>
      <c r="V207" s="8">
        <v>134.56</v>
      </c>
      <c r="W207" s="8" t="s">
        <v>196</v>
      </c>
      <c r="X207" s="15">
        <v>44794</v>
      </c>
      <c r="Y207" s="15">
        <v>45161</v>
      </c>
      <c r="Z207" s="17" t="s">
        <v>201</v>
      </c>
      <c r="AA207" s="118">
        <v>35952</v>
      </c>
      <c r="AB207" s="7">
        <v>40</v>
      </c>
      <c r="AC207" s="7">
        <v>38</v>
      </c>
      <c r="AD207" s="15">
        <v>46052</v>
      </c>
      <c r="AE207" s="50">
        <v>778</v>
      </c>
      <c r="AF207" s="5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BA207" s="20"/>
      <c r="BB207" s="20"/>
      <c r="BD207" s="7"/>
      <c r="CS207" s="9">
        <f t="shared" si="16"/>
        <v>0</v>
      </c>
      <c r="CT207" s="20">
        <f t="shared" si="17"/>
        <v>0</v>
      </c>
      <c r="CU207" s="20">
        <f t="shared" si="18"/>
        <v>0</v>
      </c>
      <c r="CV207" s="24">
        <f t="shared" si="19"/>
        <v>778</v>
      </c>
    </row>
    <row r="208" spans="1:103" x14ac:dyDescent="0.2">
      <c r="A208" s="7" t="s">
        <v>763</v>
      </c>
      <c r="B208" s="1">
        <v>149</v>
      </c>
      <c r="C208" s="2" t="s">
        <v>36</v>
      </c>
      <c r="D208" s="2" t="s">
        <v>37</v>
      </c>
      <c r="E208" s="1"/>
      <c r="F208" s="1"/>
      <c r="G208" s="1" t="s">
        <v>28</v>
      </c>
      <c r="H208" s="1">
        <v>5</v>
      </c>
      <c r="I208" s="18">
        <v>134.61000000000001</v>
      </c>
      <c r="J208" s="18">
        <v>41900</v>
      </c>
      <c r="K208" s="2">
        <v>0</v>
      </c>
      <c r="L208" s="2" t="s">
        <v>3</v>
      </c>
      <c r="M208" s="7" t="s">
        <v>0</v>
      </c>
      <c r="N208" s="7" t="s">
        <v>7</v>
      </c>
      <c r="O208" s="7" t="s">
        <v>674</v>
      </c>
      <c r="S208" s="7" t="s">
        <v>96</v>
      </c>
      <c r="T208" s="8" t="s">
        <v>28</v>
      </c>
      <c r="U208" s="8">
        <v>5</v>
      </c>
      <c r="V208" s="8">
        <v>134.56</v>
      </c>
      <c r="W208" s="8" t="s">
        <v>196</v>
      </c>
      <c r="X208" s="15">
        <v>44794</v>
      </c>
      <c r="Y208" s="15">
        <v>45161</v>
      </c>
      <c r="Z208" s="17" t="s">
        <v>201</v>
      </c>
      <c r="AA208" s="118">
        <v>35952</v>
      </c>
      <c r="AB208" s="7">
        <v>40</v>
      </c>
      <c r="AC208" s="7">
        <v>39</v>
      </c>
      <c r="AD208" s="15">
        <v>46081</v>
      </c>
      <c r="AE208" s="50">
        <v>778</v>
      </c>
      <c r="AF208" s="5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BA208" s="20"/>
      <c r="BB208" s="20"/>
      <c r="BD208" s="7"/>
      <c r="CS208" s="9">
        <f t="shared" si="16"/>
        <v>0</v>
      </c>
      <c r="CT208" s="20">
        <f t="shared" si="17"/>
        <v>0</v>
      </c>
      <c r="CU208" s="20">
        <f t="shared" si="18"/>
        <v>0</v>
      </c>
      <c r="CV208" s="24">
        <f t="shared" si="19"/>
        <v>778</v>
      </c>
    </row>
    <row r="209" spans="1:100" x14ac:dyDescent="0.2">
      <c r="A209" s="7" t="s">
        <v>763</v>
      </c>
      <c r="B209" s="1">
        <v>149</v>
      </c>
      <c r="C209" s="2" t="s">
        <v>36</v>
      </c>
      <c r="D209" s="2" t="s">
        <v>37</v>
      </c>
      <c r="E209" s="1"/>
      <c r="F209" s="1"/>
      <c r="G209" s="1" t="s">
        <v>28</v>
      </c>
      <c r="H209" s="1">
        <v>5</v>
      </c>
      <c r="I209" s="18">
        <v>134.61000000000001</v>
      </c>
      <c r="J209" s="18">
        <v>41900</v>
      </c>
      <c r="K209" s="2">
        <v>0</v>
      </c>
      <c r="L209" s="2" t="s">
        <v>3</v>
      </c>
      <c r="M209" s="7" t="s">
        <v>0</v>
      </c>
      <c r="N209" s="7" t="s">
        <v>7</v>
      </c>
      <c r="O209" s="7" t="s">
        <v>674</v>
      </c>
      <c r="S209" s="7" t="s">
        <v>96</v>
      </c>
      <c r="T209" s="8" t="s">
        <v>28</v>
      </c>
      <c r="U209" s="8">
        <v>5</v>
      </c>
      <c r="V209" s="8">
        <v>134.56</v>
      </c>
      <c r="W209" s="8" t="s">
        <v>196</v>
      </c>
      <c r="X209" s="15">
        <v>44794</v>
      </c>
      <c r="Y209" s="15">
        <v>45161</v>
      </c>
      <c r="Z209" s="17" t="s">
        <v>201</v>
      </c>
      <c r="AA209" s="118">
        <v>35952</v>
      </c>
      <c r="AB209" s="7">
        <v>40</v>
      </c>
      <c r="AC209" s="7">
        <v>40</v>
      </c>
      <c r="AD209" s="15">
        <v>46111</v>
      </c>
      <c r="AE209" s="50">
        <v>770.97</v>
      </c>
      <c r="AF209" s="5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BA209" s="20"/>
      <c r="BB209" s="20"/>
      <c r="BD209" s="7"/>
      <c r="CS209" s="9">
        <f t="shared" si="16"/>
        <v>0</v>
      </c>
      <c r="CT209" s="20">
        <f t="shared" si="17"/>
        <v>0</v>
      </c>
      <c r="CU209" s="20">
        <f t="shared" si="18"/>
        <v>0</v>
      </c>
      <c r="CV209" s="24">
        <f t="shared" si="19"/>
        <v>770.97</v>
      </c>
    </row>
    <row r="210" spans="1:100" x14ac:dyDescent="0.2">
      <c r="A210" s="7" t="s">
        <v>763</v>
      </c>
      <c r="B210" s="1">
        <v>149</v>
      </c>
      <c r="C210" s="2" t="s">
        <v>36</v>
      </c>
      <c r="D210" s="2" t="s">
        <v>37</v>
      </c>
      <c r="E210" s="1"/>
      <c r="F210" s="1"/>
      <c r="G210" s="1" t="s">
        <v>28</v>
      </c>
      <c r="H210" s="1">
        <v>5</v>
      </c>
      <c r="I210" s="18">
        <v>134.61000000000001</v>
      </c>
      <c r="J210" s="18">
        <v>41900</v>
      </c>
      <c r="K210" s="2">
        <v>0</v>
      </c>
      <c r="L210" s="2" t="s">
        <v>3</v>
      </c>
      <c r="M210" s="7" t="s">
        <v>0</v>
      </c>
      <c r="N210" s="7" t="s">
        <v>7</v>
      </c>
      <c r="O210" s="7" t="s">
        <v>674</v>
      </c>
      <c r="S210" s="7" t="s">
        <v>750</v>
      </c>
      <c r="V210" s="8">
        <v>12.5</v>
      </c>
      <c r="W210" s="8" t="s">
        <v>196</v>
      </c>
      <c r="X210" s="15">
        <v>45410</v>
      </c>
      <c r="Z210" s="17" t="s">
        <v>201</v>
      </c>
      <c r="AA210" s="118">
        <v>5500</v>
      </c>
      <c r="AB210" s="7">
        <v>12</v>
      </c>
      <c r="AC210" s="7">
        <v>0</v>
      </c>
      <c r="AD210" s="15">
        <v>44931</v>
      </c>
      <c r="AE210" s="50">
        <v>500</v>
      </c>
      <c r="AF210" s="50"/>
      <c r="AG210" s="7" t="s">
        <v>72</v>
      </c>
      <c r="AH210" s="15">
        <v>44931</v>
      </c>
      <c r="AI210" s="7">
        <v>10228642</v>
      </c>
      <c r="AJ210" s="7" t="s">
        <v>677</v>
      </c>
      <c r="AK210" s="7" t="s">
        <v>751</v>
      </c>
      <c r="AL210" s="20">
        <v>500</v>
      </c>
      <c r="AM210" s="20"/>
      <c r="AN210" s="20" t="s">
        <v>681</v>
      </c>
      <c r="AO210" s="20"/>
      <c r="AP210" s="20"/>
      <c r="AQ210" s="20"/>
      <c r="AR210" s="20"/>
      <c r="AS210" s="20"/>
      <c r="AT210" s="20"/>
      <c r="AU210" s="20"/>
      <c r="AV210" s="20"/>
      <c r="AW210" s="16">
        <v>44932</v>
      </c>
      <c r="AX210" s="7">
        <v>1138</v>
      </c>
      <c r="BA210" s="20">
        <v>500</v>
      </c>
      <c r="BB210" s="20"/>
      <c r="BD210" s="7"/>
      <c r="CS210" s="9">
        <f t="shared" si="16"/>
        <v>500</v>
      </c>
      <c r="CT210" s="20">
        <f t="shared" si="17"/>
        <v>500</v>
      </c>
      <c r="CU210" s="20">
        <f t="shared" si="18"/>
        <v>0</v>
      </c>
      <c r="CV210" s="24">
        <f t="shared" si="19"/>
        <v>0</v>
      </c>
    </row>
    <row r="211" spans="1:100" x14ac:dyDescent="0.2">
      <c r="A211" s="7" t="s">
        <v>763</v>
      </c>
      <c r="B211" s="1">
        <v>149</v>
      </c>
      <c r="C211" s="2" t="s">
        <v>36</v>
      </c>
      <c r="D211" s="2" t="s">
        <v>37</v>
      </c>
      <c r="E211" s="1"/>
      <c r="F211" s="1"/>
      <c r="G211" s="1" t="s">
        <v>28</v>
      </c>
      <c r="H211" s="1">
        <v>5</v>
      </c>
      <c r="I211" s="18">
        <v>134.61000000000001</v>
      </c>
      <c r="J211" s="18">
        <v>41900</v>
      </c>
      <c r="K211" s="2">
        <v>0</v>
      </c>
      <c r="L211" s="2" t="s">
        <v>3</v>
      </c>
      <c r="M211" s="7" t="s">
        <v>0</v>
      </c>
      <c r="N211" s="7" t="s">
        <v>7</v>
      </c>
      <c r="O211" s="7" t="s">
        <v>674</v>
      </c>
      <c r="S211" s="7" t="s">
        <v>750</v>
      </c>
      <c r="V211" s="8">
        <v>12.5</v>
      </c>
      <c r="W211" s="8" t="s">
        <v>196</v>
      </c>
      <c r="X211" s="15">
        <v>45410</v>
      </c>
      <c r="Z211" s="17" t="s">
        <v>201</v>
      </c>
      <c r="AA211" s="118">
        <v>5500</v>
      </c>
      <c r="AB211" s="7">
        <v>12</v>
      </c>
      <c r="AC211" s="7">
        <v>1</v>
      </c>
      <c r="AD211" s="15">
        <v>44985</v>
      </c>
      <c r="AE211" s="50">
        <v>416.7</v>
      </c>
      <c r="AF211" s="50"/>
      <c r="AG211" s="7" t="s">
        <v>72</v>
      </c>
      <c r="AH211" s="15">
        <v>44993</v>
      </c>
      <c r="AI211" s="7">
        <v>10228642</v>
      </c>
      <c r="AJ211" s="7" t="s">
        <v>677</v>
      </c>
      <c r="AK211" s="7" t="s">
        <v>752</v>
      </c>
      <c r="AL211" s="20">
        <v>416.7</v>
      </c>
      <c r="AM211" s="20"/>
      <c r="AN211" s="20" t="s">
        <v>684</v>
      </c>
      <c r="AO211" s="20"/>
      <c r="AP211" s="20"/>
      <c r="AQ211" s="20"/>
      <c r="AR211" s="20"/>
      <c r="AS211" s="20"/>
      <c r="AT211" s="20"/>
      <c r="AU211" s="20"/>
      <c r="AV211" s="20"/>
      <c r="AW211" s="16">
        <v>44989</v>
      </c>
      <c r="AX211" s="8" t="s">
        <v>764</v>
      </c>
      <c r="AY211" s="20">
        <f>+BA211*AZ211</f>
        <v>1575.126</v>
      </c>
      <c r="AZ211" s="7">
        <v>3.78</v>
      </c>
      <c r="BA211" s="20">
        <v>416.7</v>
      </c>
      <c r="BB211" s="20"/>
      <c r="BD211" s="7"/>
      <c r="CS211" s="9">
        <f t="shared" si="16"/>
        <v>416.7</v>
      </c>
      <c r="CT211" s="20">
        <f t="shared" si="17"/>
        <v>416.7</v>
      </c>
      <c r="CU211" s="20">
        <f t="shared" si="18"/>
        <v>0</v>
      </c>
      <c r="CV211" s="24">
        <f t="shared" si="19"/>
        <v>0</v>
      </c>
    </row>
    <row r="212" spans="1:100" x14ac:dyDescent="0.2">
      <c r="A212" s="7" t="s">
        <v>763</v>
      </c>
      <c r="B212" s="1">
        <v>149</v>
      </c>
      <c r="C212" s="2" t="s">
        <v>36</v>
      </c>
      <c r="D212" s="2" t="s">
        <v>37</v>
      </c>
      <c r="E212" s="1"/>
      <c r="F212" s="1"/>
      <c r="G212" s="1" t="s">
        <v>28</v>
      </c>
      <c r="H212" s="1">
        <v>5</v>
      </c>
      <c r="I212" s="18">
        <v>134.61000000000001</v>
      </c>
      <c r="J212" s="18">
        <v>41900</v>
      </c>
      <c r="K212" s="2">
        <v>0</v>
      </c>
      <c r="L212" s="2" t="s">
        <v>3</v>
      </c>
      <c r="M212" s="7" t="s">
        <v>0</v>
      </c>
      <c r="N212" s="7" t="s">
        <v>7</v>
      </c>
      <c r="O212" s="7" t="s">
        <v>674</v>
      </c>
      <c r="S212" s="7" t="s">
        <v>750</v>
      </c>
      <c r="V212" s="8">
        <v>12.5</v>
      </c>
      <c r="W212" s="8" t="s">
        <v>196</v>
      </c>
      <c r="X212" s="15">
        <v>45410</v>
      </c>
      <c r="Z212" s="17" t="s">
        <v>201</v>
      </c>
      <c r="AA212" s="118">
        <v>5500</v>
      </c>
      <c r="AB212" s="7">
        <v>12</v>
      </c>
      <c r="AC212" s="7">
        <v>2</v>
      </c>
      <c r="AD212" s="15">
        <v>45015</v>
      </c>
      <c r="AE212" s="50">
        <v>416.7</v>
      </c>
      <c r="AF212" s="50"/>
      <c r="AG212" s="7" t="s">
        <v>72</v>
      </c>
      <c r="AH212" s="15">
        <v>45050</v>
      </c>
      <c r="AI212" s="7">
        <v>10228642</v>
      </c>
      <c r="AJ212" s="7" t="s">
        <v>677</v>
      </c>
      <c r="AK212" s="7" t="s">
        <v>753</v>
      </c>
      <c r="AL212" s="20">
        <v>416.7</v>
      </c>
      <c r="AM212" s="20"/>
      <c r="AN212" s="20" t="s">
        <v>685</v>
      </c>
      <c r="AO212" s="20"/>
      <c r="AP212" s="20"/>
      <c r="AQ212" s="20"/>
      <c r="AR212" s="20"/>
      <c r="AS212" s="20"/>
      <c r="AT212" s="20"/>
      <c r="AU212" s="20"/>
      <c r="AV212" s="20"/>
      <c r="AW212" s="16">
        <v>45048</v>
      </c>
      <c r="AX212" s="7">
        <v>1453</v>
      </c>
      <c r="AY212" s="20"/>
      <c r="BA212" s="20">
        <v>416.7</v>
      </c>
      <c r="BB212" s="20"/>
      <c r="BD212" s="7"/>
      <c r="CS212" s="9">
        <f t="shared" si="16"/>
        <v>416.7</v>
      </c>
      <c r="CT212" s="20">
        <f t="shared" si="17"/>
        <v>416.7</v>
      </c>
      <c r="CU212" s="20">
        <f t="shared" si="18"/>
        <v>0</v>
      </c>
      <c r="CV212" s="24">
        <f t="shared" si="19"/>
        <v>0</v>
      </c>
    </row>
    <row r="213" spans="1:100" x14ac:dyDescent="0.2">
      <c r="A213" s="7" t="s">
        <v>763</v>
      </c>
      <c r="B213" s="1">
        <v>149</v>
      </c>
      <c r="C213" s="2" t="s">
        <v>36</v>
      </c>
      <c r="D213" s="2" t="s">
        <v>37</v>
      </c>
      <c r="E213" s="1"/>
      <c r="F213" s="1"/>
      <c r="G213" s="1" t="s">
        <v>28</v>
      </c>
      <c r="H213" s="1">
        <v>5</v>
      </c>
      <c r="I213" s="18">
        <v>134.61000000000001</v>
      </c>
      <c r="J213" s="18">
        <v>41900</v>
      </c>
      <c r="K213" s="2">
        <v>0</v>
      </c>
      <c r="L213" s="2" t="s">
        <v>3</v>
      </c>
      <c r="M213" s="7" t="s">
        <v>0</v>
      </c>
      <c r="N213" s="7" t="s">
        <v>7</v>
      </c>
      <c r="O213" s="7" t="s">
        <v>674</v>
      </c>
      <c r="S213" s="7" t="s">
        <v>750</v>
      </c>
      <c r="V213" s="8">
        <v>12.5</v>
      </c>
      <c r="W213" s="8" t="s">
        <v>196</v>
      </c>
      <c r="X213" s="15">
        <v>45410</v>
      </c>
      <c r="Z213" s="17" t="s">
        <v>201</v>
      </c>
      <c r="AA213" s="118">
        <v>5500</v>
      </c>
      <c r="AB213" s="7">
        <v>12</v>
      </c>
      <c r="AC213" s="7">
        <v>3</v>
      </c>
      <c r="AD213" s="15">
        <v>45046</v>
      </c>
      <c r="AE213" s="50">
        <v>416.7</v>
      </c>
      <c r="AF213" s="50"/>
      <c r="AG213" s="7" t="s">
        <v>72</v>
      </c>
      <c r="AH213" s="15">
        <v>45161</v>
      </c>
      <c r="AI213" s="7">
        <v>10228642</v>
      </c>
      <c r="AJ213" s="7" t="s">
        <v>677</v>
      </c>
      <c r="AK213" s="7" t="s">
        <v>754</v>
      </c>
      <c r="AL213" s="20">
        <v>416.88</v>
      </c>
      <c r="AM213" s="20"/>
      <c r="AN213" s="20" t="s">
        <v>691</v>
      </c>
      <c r="AO213" s="20"/>
      <c r="AP213" s="20"/>
      <c r="AQ213" s="20"/>
      <c r="AR213" s="20"/>
      <c r="AS213" s="20"/>
      <c r="AT213" s="20"/>
      <c r="AU213" s="20"/>
      <c r="AV213" s="20"/>
      <c r="AW213" s="16">
        <v>45134</v>
      </c>
      <c r="AX213" s="7">
        <v>1746</v>
      </c>
      <c r="BA213" s="20">
        <v>110.88</v>
      </c>
      <c r="BB213" s="20"/>
      <c r="BC213" s="15">
        <v>45161</v>
      </c>
      <c r="BD213" s="7">
        <v>1845</v>
      </c>
      <c r="BG213" s="7">
        <v>306</v>
      </c>
      <c r="CS213" s="9">
        <f t="shared" si="16"/>
        <v>416.88</v>
      </c>
      <c r="CT213" s="20">
        <f t="shared" si="17"/>
        <v>416.88</v>
      </c>
      <c r="CU213" s="20">
        <f t="shared" si="18"/>
        <v>0</v>
      </c>
      <c r="CV213" s="24">
        <f t="shared" si="19"/>
        <v>-0.18000000000000682</v>
      </c>
    </row>
    <row r="214" spans="1:100" x14ac:dyDescent="0.2">
      <c r="A214" s="7" t="s">
        <v>763</v>
      </c>
      <c r="B214" s="1">
        <v>149</v>
      </c>
      <c r="C214" s="2" t="s">
        <v>36</v>
      </c>
      <c r="D214" s="2" t="s">
        <v>37</v>
      </c>
      <c r="E214" s="1"/>
      <c r="F214" s="1"/>
      <c r="G214" s="1" t="s">
        <v>28</v>
      </c>
      <c r="H214" s="1">
        <v>5</v>
      </c>
      <c r="I214" s="18">
        <v>134.61000000000001</v>
      </c>
      <c r="J214" s="18">
        <v>41900</v>
      </c>
      <c r="K214" s="2">
        <v>0</v>
      </c>
      <c r="L214" s="2" t="s">
        <v>3</v>
      </c>
      <c r="M214" s="7" t="s">
        <v>0</v>
      </c>
      <c r="N214" s="7" t="s">
        <v>7</v>
      </c>
      <c r="O214" s="7" t="s">
        <v>674</v>
      </c>
      <c r="S214" s="7" t="s">
        <v>750</v>
      </c>
      <c r="V214" s="8">
        <v>12.5</v>
      </c>
      <c r="W214" s="8" t="s">
        <v>196</v>
      </c>
      <c r="X214" s="15">
        <v>45410</v>
      </c>
      <c r="Z214" s="17" t="s">
        <v>201</v>
      </c>
      <c r="AA214" s="118">
        <v>5500</v>
      </c>
      <c r="AB214" s="7">
        <v>12</v>
      </c>
      <c r="AC214" s="7">
        <v>4</v>
      </c>
      <c r="AD214" s="15">
        <v>45076</v>
      </c>
      <c r="AE214" s="50">
        <v>416.7</v>
      </c>
      <c r="AF214" s="50"/>
      <c r="AG214" s="7" t="s">
        <v>72</v>
      </c>
      <c r="AH214" s="15">
        <v>45209</v>
      </c>
      <c r="AI214" s="7">
        <v>10228642</v>
      </c>
      <c r="AJ214" s="7" t="s">
        <v>677</v>
      </c>
      <c r="AK214" s="7" t="s">
        <v>755</v>
      </c>
      <c r="AL214" s="20">
        <v>416.88</v>
      </c>
      <c r="AM214" s="20"/>
      <c r="AN214" s="20" t="s">
        <v>694</v>
      </c>
      <c r="AO214" s="20"/>
      <c r="AP214" s="20"/>
      <c r="AQ214" s="20"/>
      <c r="AR214" s="20"/>
      <c r="AS214" s="20"/>
      <c r="AT214" s="20"/>
      <c r="AU214" s="20"/>
      <c r="AV214" s="20"/>
      <c r="AW214" s="16">
        <v>45205</v>
      </c>
      <c r="AX214" s="7">
        <v>1957</v>
      </c>
      <c r="BA214" s="20">
        <v>417</v>
      </c>
      <c r="BB214" s="20"/>
      <c r="BD214" s="7"/>
      <c r="CS214" s="9">
        <f t="shared" si="16"/>
        <v>416.88</v>
      </c>
      <c r="CT214" s="20">
        <f t="shared" si="17"/>
        <v>417</v>
      </c>
      <c r="CU214" s="20">
        <f t="shared" si="18"/>
        <v>-0.12000000000000455</v>
      </c>
      <c r="CV214" s="24">
        <f t="shared" si="19"/>
        <v>-0.18000000000000682</v>
      </c>
    </row>
    <row r="215" spans="1:100" x14ac:dyDescent="0.2">
      <c r="A215" s="7" t="s">
        <v>763</v>
      </c>
      <c r="B215" s="1">
        <v>149</v>
      </c>
      <c r="C215" s="2" t="s">
        <v>36</v>
      </c>
      <c r="D215" s="2" t="s">
        <v>37</v>
      </c>
      <c r="E215" s="1"/>
      <c r="F215" s="1"/>
      <c r="G215" s="1" t="s">
        <v>28</v>
      </c>
      <c r="H215" s="1">
        <v>5</v>
      </c>
      <c r="I215" s="18">
        <v>134.61000000000001</v>
      </c>
      <c r="J215" s="18">
        <v>41900</v>
      </c>
      <c r="K215" s="2">
        <v>0</v>
      </c>
      <c r="L215" s="2" t="s">
        <v>3</v>
      </c>
      <c r="M215" s="7" t="s">
        <v>0</v>
      </c>
      <c r="N215" s="7" t="s">
        <v>7</v>
      </c>
      <c r="O215" s="7" t="s">
        <v>674</v>
      </c>
      <c r="S215" s="7" t="s">
        <v>750</v>
      </c>
      <c r="V215" s="8">
        <v>12.5</v>
      </c>
      <c r="W215" s="8" t="s">
        <v>196</v>
      </c>
      <c r="X215" s="15">
        <v>45410</v>
      </c>
      <c r="Z215" s="17" t="s">
        <v>201</v>
      </c>
      <c r="AA215" s="118">
        <v>5500</v>
      </c>
      <c r="AB215" s="7">
        <v>12</v>
      </c>
      <c r="AC215" s="7">
        <v>5</v>
      </c>
      <c r="AD215" s="15">
        <v>45107</v>
      </c>
      <c r="AE215" s="50">
        <v>416.7</v>
      </c>
      <c r="AF215" s="50"/>
      <c r="AG215" s="7" t="s">
        <v>72</v>
      </c>
      <c r="AH215" s="15">
        <v>45239</v>
      </c>
      <c r="AI215" s="7">
        <v>10228642</v>
      </c>
      <c r="AJ215" s="7" t="s">
        <v>677</v>
      </c>
      <c r="AK215" s="7" t="s">
        <v>756</v>
      </c>
      <c r="AL215" s="20">
        <v>417</v>
      </c>
      <c r="AM215" s="20"/>
      <c r="AN215" s="20" t="s">
        <v>695</v>
      </c>
      <c r="AO215" s="20"/>
      <c r="AP215" s="20"/>
      <c r="AQ215" s="20"/>
      <c r="AR215" s="20"/>
      <c r="AS215" s="20"/>
      <c r="AT215" s="20"/>
      <c r="AU215" s="20"/>
      <c r="AV215" s="20"/>
      <c r="AW215" s="16">
        <v>45238</v>
      </c>
      <c r="AX215" s="7">
        <v>2036</v>
      </c>
      <c r="BA215" s="20">
        <v>417</v>
      </c>
      <c r="BB215" s="20"/>
      <c r="BD215" s="7"/>
      <c r="CS215" s="9">
        <f t="shared" si="16"/>
        <v>417</v>
      </c>
      <c r="CT215" s="20">
        <f t="shared" si="17"/>
        <v>417</v>
      </c>
      <c r="CU215" s="20">
        <f t="shared" si="18"/>
        <v>0</v>
      </c>
      <c r="CV215" s="24">
        <f t="shared" si="19"/>
        <v>-0.30000000000001137</v>
      </c>
    </row>
    <row r="216" spans="1:100" x14ac:dyDescent="0.2">
      <c r="A216" s="7" t="s">
        <v>763</v>
      </c>
      <c r="B216" s="1">
        <v>149</v>
      </c>
      <c r="C216" s="2" t="s">
        <v>36</v>
      </c>
      <c r="D216" s="2" t="s">
        <v>37</v>
      </c>
      <c r="E216" s="1"/>
      <c r="F216" s="1"/>
      <c r="G216" s="1" t="s">
        <v>28</v>
      </c>
      <c r="H216" s="1">
        <v>5</v>
      </c>
      <c r="I216" s="18">
        <v>134.61000000000001</v>
      </c>
      <c r="J216" s="18">
        <v>41900</v>
      </c>
      <c r="K216" s="2">
        <v>0</v>
      </c>
      <c r="L216" s="2" t="s">
        <v>3</v>
      </c>
      <c r="M216" s="7" t="s">
        <v>0</v>
      </c>
      <c r="N216" s="7" t="s">
        <v>7</v>
      </c>
      <c r="O216" s="7" t="s">
        <v>674</v>
      </c>
      <c r="S216" s="7" t="s">
        <v>750</v>
      </c>
      <c r="V216" s="8">
        <v>12.5</v>
      </c>
      <c r="W216" s="8" t="s">
        <v>196</v>
      </c>
      <c r="X216" s="15">
        <v>45410</v>
      </c>
      <c r="Z216" s="17" t="s">
        <v>201</v>
      </c>
      <c r="AA216" s="118">
        <v>5500</v>
      </c>
      <c r="AB216" s="7">
        <v>12</v>
      </c>
      <c r="AC216" s="7">
        <v>6</v>
      </c>
      <c r="AD216" s="15">
        <v>45137</v>
      </c>
      <c r="AE216" s="50">
        <v>416.7</v>
      </c>
      <c r="AF216" s="50"/>
      <c r="AG216" s="7" t="s">
        <v>72</v>
      </c>
      <c r="AH216" s="15">
        <v>45282</v>
      </c>
      <c r="AI216" s="7">
        <v>10228642</v>
      </c>
      <c r="AJ216" s="7" t="s">
        <v>677</v>
      </c>
      <c r="AK216" s="7" t="s">
        <v>757</v>
      </c>
      <c r="AL216" s="20">
        <v>417</v>
      </c>
      <c r="AM216" s="20"/>
      <c r="AN216" s="20" t="s">
        <v>698</v>
      </c>
      <c r="AO216" s="20"/>
      <c r="AP216" s="20"/>
      <c r="AQ216" s="20"/>
      <c r="AR216" s="20"/>
      <c r="AS216" s="20"/>
      <c r="AT216" s="20"/>
      <c r="AU216" s="20"/>
      <c r="AV216" s="20"/>
      <c r="AW216" s="16">
        <v>45282</v>
      </c>
      <c r="AX216" s="7">
        <v>2141</v>
      </c>
      <c r="BA216" s="20">
        <v>417</v>
      </c>
      <c r="BB216" s="20"/>
      <c r="BD216" s="7"/>
      <c r="CS216" s="9">
        <f t="shared" si="16"/>
        <v>417</v>
      </c>
      <c r="CT216" s="20">
        <f t="shared" si="17"/>
        <v>417</v>
      </c>
      <c r="CU216" s="20">
        <f t="shared" si="18"/>
        <v>0</v>
      </c>
      <c r="CV216" s="24">
        <f t="shared" si="19"/>
        <v>-0.30000000000001137</v>
      </c>
    </row>
    <row r="217" spans="1:100" x14ac:dyDescent="0.2">
      <c r="A217" s="7" t="s">
        <v>763</v>
      </c>
      <c r="B217" s="1">
        <v>149</v>
      </c>
      <c r="C217" s="2" t="s">
        <v>36</v>
      </c>
      <c r="D217" s="2" t="s">
        <v>37</v>
      </c>
      <c r="E217" s="1"/>
      <c r="F217" s="1"/>
      <c r="G217" s="1" t="s">
        <v>28</v>
      </c>
      <c r="H217" s="1">
        <v>5</v>
      </c>
      <c r="I217" s="18">
        <v>134.61000000000001</v>
      </c>
      <c r="J217" s="18">
        <v>41900</v>
      </c>
      <c r="K217" s="2">
        <v>0</v>
      </c>
      <c r="L217" s="2" t="s">
        <v>3</v>
      </c>
      <c r="M217" s="7" t="s">
        <v>0</v>
      </c>
      <c r="N217" s="7" t="s">
        <v>7</v>
      </c>
      <c r="O217" s="7" t="s">
        <v>674</v>
      </c>
      <c r="S217" s="7" t="s">
        <v>750</v>
      </c>
      <c r="V217" s="8">
        <v>12.5</v>
      </c>
      <c r="W217" s="8" t="s">
        <v>196</v>
      </c>
      <c r="X217" s="15">
        <v>45410</v>
      </c>
      <c r="Z217" s="17" t="s">
        <v>201</v>
      </c>
      <c r="AA217" s="118">
        <v>5500</v>
      </c>
      <c r="AB217" s="7">
        <v>12</v>
      </c>
      <c r="AC217" s="7">
        <v>7</v>
      </c>
      <c r="AD217" s="15">
        <v>45168</v>
      </c>
      <c r="AE217" s="50">
        <v>416.7</v>
      </c>
      <c r="AF217" s="50"/>
      <c r="AG217" s="7" t="s">
        <v>72</v>
      </c>
      <c r="AH217" s="15">
        <v>45372</v>
      </c>
      <c r="AI217" s="7">
        <v>10228642</v>
      </c>
      <c r="AJ217" s="7" t="s">
        <v>677</v>
      </c>
      <c r="AK217" s="7" t="s">
        <v>758</v>
      </c>
      <c r="AL217" s="20">
        <v>417</v>
      </c>
      <c r="AM217" s="20"/>
      <c r="AN217" s="20" t="s">
        <v>699</v>
      </c>
      <c r="AO217" s="20"/>
      <c r="AP217" s="20"/>
      <c r="AQ217" s="20"/>
      <c r="AR217" s="20"/>
      <c r="AS217" s="20"/>
      <c r="AT217" s="20"/>
      <c r="AU217" s="20"/>
      <c r="AV217" s="20"/>
      <c r="AW217" s="16">
        <v>45323</v>
      </c>
      <c r="AX217" s="7">
        <v>2261</v>
      </c>
      <c r="BA217" s="20">
        <v>217</v>
      </c>
      <c r="BB217" s="20"/>
      <c r="BC217" s="15">
        <v>45348</v>
      </c>
      <c r="BD217" s="7">
        <v>2344</v>
      </c>
      <c r="BG217" s="7">
        <v>200</v>
      </c>
      <c r="CS217" s="9">
        <f t="shared" si="16"/>
        <v>417</v>
      </c>
      <c r="CT217" s="20">
        <f t="shared" si="17"/>
        <v>417</v>
      </c>
      <c r="CU217" s="20">
        <f t="shared" si="18"/>
        <v>0</v>
      </c>
      <c r="CV217" s="24">
        <f t="shared" si="19"/>
        <v>-0.30000000000001137</v>
      </c>
    </row>
    <row r="218" spans="1:100" x14ac:dyDescent="0.2">
      <c r="A218" s="7" t="s">
        <v>763</v>
      </c>
      <c r="B218" s="1">
        <v>149</v>
      </c>
      <c r="C218" s="2" t="s">
        <v>36</v>
      </c>
      <c r="D218" s="2" t="s">
        <v>37</v>
      </c>
      <c r="E218" s="1"/>
      <c r="F218" s="1"/>
      <c r="G218" s="1" t="s">
        <v>28</v>
      </c>
      <c r="H218" s="1">
        <v>5</v>
      </c>
      <c r="I218" s="18">
        <v>134.61000000000001</v>
      </c>
      <c r="J218" s="18">
        <v>41900</v>
      </c>
      <c r="K218" s="2">
        <v>0</v>
      </c>
      <c r="L218" s="2" t="s">
        <v>3</v>
      </c>
      <c r="M218" s="7" t="s">
        <v>0</v>
      </c>
      <c r="N218" s="7" t="s">
        <v>7</v>
      </c>
      <c r="O218" s="7" t="s">
        <v>674</v>
      </c>
      <c r="S218" s="7" t="s">
        <v>750</v>
      </c>
      <c r="V218" s="8">
        <v>12.5</v>
      </c>
      <c r="W218" s="8" t="s">
        <v>196</v>
      </c>
      <c r="X218" s="15">
        <v>45410</v>
      </c>
      <c r="Z218" s="17" t="s">
        <v>201</v>
      </c>
      <c r="AA218" s="118">
        <v>5500</v>
      </c>
      <c r="AB218" s="7">
        <v>12</v>
      </c>
      <c r="AC218" s="7">
        <v>8</v>
      </c>
      <c r="AD218" s="15">
        <v>45199</v>
      </c>
      <c r="AE218" s="50">
        <v>416.7</v>
      </c>
      <c r="AF218" s="50"/>
      <c r="AG218" s="7" t="s">
        <v>72</v>
      </c>
      <c r="AH218" s="15">
        <v>45372</v>
      </c>
      <c r="AI218" s="7">
        <v>10228642</v>
      </c>
      <c r="AJ218" s="7" t="s">
        <v>677</v>
      </c>
      <c r="AK218" s="7" t="s">
        <v>759</v>
      </c>
      <c r="AL218" s="20">
        <v>417</v>
      </c>
      <c r="AM218" s="20"/>
      <c r="AN218" s="20" t="s">
        <v>700</v>
      </c>
      <c r="AO218" s="20"/>
      <c r="AP218" s="20"/>
      <c r="AQ218" s="20"/>
      <c r="AR218" s="20"/>
      <c r="AS218" s="20"/>
      <c r="AT218" s="20"/>
      <c r="AU218" s="20"/>
      <c r="AV218" s="20"/>
      <c r="AW218" s="16">
        <v>45348</v>
      </c>
      <c r="AX218" s="7">
        <v>2343</v>
      </c>
      <c r="BA218" s="20">
        <v>417</v>
      </c>
      <c r="BB218" s="20"/>
      <c r="BD218" s="7"/>
      <c r="CS218" s="9">
        <f t="shared" si="16"/>
        <v>417</v>
      </c>
      <c r="CT218" s="20">
        <f t="shared" si="17"/>
        <v>417</v>
      </c>
      <c r="CU218" s="20">
        <f t="shared" si="18"/>
        <v>0</v>
      </c>
      <c r="CV218" s="24">
        <f t="shared" si="19"/>
        <v>-0.30000000000001137</v>
      </c>
    </row>
    <row r="219" spans="1:100" x14ac:dyDescent="0.2">
      <c r="A219" s="7" t="s">
        <v>763</v>
      </c>
      <c r="B219" s="1">
        <v>149</v>
      </c>
      <c r="C219" s="2" t="s">
        <v>36</v>
      </c>
      <c r="D219" s="2" t="s">
        <v>37</v>
      </c>
      <c r="E219" s="1"/>
      <c r="F219" s="1"/>
      <c r="G219" s="1" t="s">
        <v>28</v>
      </c>
      <c r="H219" s="1">
        <v>5</v>
      </c>
      <c r="I219" s="18">
        <v>134.61000000000001</v>
      </c>
      <c r="J219" s="18">
        <v>41900</v>
      </c>
      <c r="K219" s="2">
        <v>0</v>
      </c>
      <c r="L219" s="2" t="s">
        <v>3</v>
      </c>
      <c r="M219" s="7" t="s">
        <v>0</v>
      </c>
      <c r="N219" s="7" t="s">
        <v>7</v>
      </c>
      <c r="O219" s="7" t="s">
        <v>674</v>
      </c>
      <c r="S219" s="7" t="s">
        <v>750</v>
      </c>
      <c r="V219" s="8">
        <v>12.5</v>
      </c>
      <c r="W219" s="8" t="s">
        <v>196</v>
      </c>
      <c r="X219" s="15">
        <v>45410</v>
      </c>
      <c r="Z219" s="17" t="s">
        <v>201</v>
      </c>
      <c r="AA219" s="118">
        <v>5500</v>
      </c>
      <c r="AB219" s="7">
        <v>12</v>
      </c>
      <c r="AC219" s="7">
        <v>9</v>
      </c>
      <c r="AD219" s="15">
        <v>45229</v>
      </c>
      <c r="AE219" s="50">
        <v>416.7</v>
      </c>
      <c r="AF219" s="50"/>
      <c r="AG219" s="7" t="s">
        <v>72</v>
      </c>
      <c r="AH219" s="15">
        <v>45404</v>
      </c>
      <c r="AI219" s="7">
        <v>10228642</v>
      </c>
      <c r="AJ219" s="7" t="s">
        <v>677</v>
      </c>
      <c r="AK219" s="7" t="s">
        <v>760</v>
      </c>
      <c r="AL219" s="20">
        <v>417</v>
      </c>
      <c r="AM219" s="20"/>
      <c r="AN219" s="20" t="s">
        <v>704</v>
      </c>
      <c r="AO219" s="20"/>
      <c r="AP219" s="20"/>
      <c r="AQ219" s="20"/>
      <c r="AR219" s="20"/>
      <c r="AS219" s="20"/>
      <c r="AT219" s="20"/>
      <c r="AU219" s="20"/>
      <c r="AV219" s="20"/>
      <c r="AW219" s="16">
        <v>45401</v>
      </c>
      <c r="AX219" s="7">
        <v>2551</v>
      </c>
      <c r="BA219" s="20">
        <v>417</v>
      </c>
      <c r="BB219" s="20"/>
      <c r="BD219" s="7"/>
      <c r="CS219" s="9">
        <f t="shared" si="16"/>
        <v>417</v>
      </c>
      <c r="CT219" s="20">
        <f t="shared" si="17"/>
        <v>417</v>
      </c>
      <c r="CU219" s="20">
        <f t="shared" si="18"/>
        <v>0</v>
      </c>
      <c r="CV219" s="24">
        <f t="shared" si="19"/>
        <v>-0.30000000000001137</v>
      </c>
    </row>
    <row r="220" spans="1:100" x14ac:dyDescent="0.2">
      <c r="A220" s="7" t="s">
        <v>763</v>
      </c>
      <c r="B220" s="1">
        <v>149</v>
      </c>
      <c r="C220" s="2" t="s">
        <v>36</v>
      </c>
      <c r="D220" s="2" t="s">
        <v>37</v>
      </c>
      <c r="E220" s="1"/>
      <c r="F220" s="1"/>
      <c r="G220" s="1" t="s">
        <v>28</v>
      </c>
      <c r="H220" s="1">
        <v>5</v>
      </c>
      <c r="I220" s="18">
        <v>134.61000000000001</v>
      </c>
      <c r="J220" s="18">
        <v>41900</v>
      </c>
      <c r="K220" s="2">
        <v>0</v>
      </c>
      <c r="L220" s="2" t="s">
        <v>3</v>
      </c>
      <c r="M220" s="7" t="s">
        <v>0</v>
      </c>
      <c r="N220" s="7" t="s">
        <v>7</v>
      </c>
      <c r="O220" s="7" t="s">
        <v>674</v>
      </c>
      <c r="S220" s="7" t="s">
        <v>750</v>
      </c>
      <c r="V220" s="8">
        <v>12.5</v>
      </c>
      <c r="W220" s="8" t="s">
        <v>196</v>
      </c>
      <c r="X220" s="15">
        <v>45410</v>
      </c>
      <c r="Z220" s="17" t="s">
        <v>201</v>
      </c>
      <c r="AA220" s="118">
        <v>5500</v>
      </c>
      <c r="AB220" s="7">
        <v>12</v>
      </c>
      <c r="AC220" s="7">
        <v>10</v>
      </c>
      <c r="AD220" s="15">
        <v>45260</v>
      </c>
      <c r="AE220" s="50">
        <v>416.7</v>
      </c>
      <c r="AF220" s="50"/>
      <c r="AL220" s="7"/>
      <c r="AM220" s="7"/>
      <c r="AN220" s="7"/>
      <c r="AO220" s="20"/>
      <c r="AP220" s="20"/>
      <c r="AQ220" s="20"/>
      <c r="AR220" s="20"/>
      <c r="AS220" s="20"/>
      <c r="AT220" s="20"/>
      <c r="AU220" s="20"/>
      <c r="AV220" s="20"/>
      <c r="BA220" s="20"/>
      <c r="BB220" s="20"/>
      <c r="BD220" s="7"/>
      <c r="CS220" s="9">
        <f t="shared" ref="CS220:CS283" si="20">+AL220+AT220</f>
        <v>0</v>
      </c>
      <c r="CT220" s="20">
        <f t="shared" ref="CT220:CT283" si="21">+BA220+BG220+BM220+BS220+BY220+CE220+CK220+CQ220</f>
        <v>0</v>
      </c>
      <c r="CU220" s="20">
        <f t="shared" ref="CU220:CU283" si="22">+CS220-CT220</f>
        <v>0</v>
      </c>
      <c r="CV220" s="24">
        <f t="shared" ref="CV220:CV283" si="23">+AE220-AL220-AT220</f>
        <v>416.7</v>
      </c>
    </row>
    <row r="221" spans="1:100" x14ac:dyDescent="0.2">
      <c r="A221" s="7" t="s">
        <v>763</v>
      </c>
      <c r="B221" s="1">
        <v>149</v>
      </c>
      <c r="C221" s="2" t="s">
        <v>36</v>
      </c>
      <c r="D221" s="2" t="s">
        <v>37</v>
      </c>
      <c r="E221" s="1"/>
      <c r="F221" s="1"/>
      <c r="G221" s="1" t="s">
        <v>28</v>
      </c>
      <c r="H221" s="1">
        <v>5</v>
      </c>
      <c r="I221" s="18">
        <v>134.61000000000001</v>
      </c>
      <c r="J221" s="18">
        <v>41900</v>
      </c>
      <c r="K221" s="2">
        <v>0</v>
      </c>
      <c r="L221" s="2" t="s">
        <v>3</v>
      </c>
      <c r="M221" s="7" t="s">
        <v>0</v>
      </c>
      <c r="N221" s="7" t="s">
        <v>7</v>
      </c>
      <c r="O221" s="7" t="s">
        <v>674</v>
      </c>
      <c r="S221" s="7" t="s">
        <v>750</v>
      </c>
      <c r="V221" s="8">
        <v>12.5</v>
      </c>
      <c r="W221" s="8" t="s">
        <v>196</v>
      </c>
      <c r="X221" s="15">
        <v>45410</v>
      </c>
      <c r="Z221" s="17" t="s">
        <v>201</v>
      </c>
      <c r="AA221" s="118">
        <v>5500</v>
      </c>
      <c r="AB221" s="7">
        <v>12</v>
      </c>
      <c r="AC221" s="7">
        <v>11</v>
      </c>
      <c r="AD221" s="15">
        <v>45290</v>
      </c>
      <c r="AE221" s="50">
        <v>416.7</v>
      </c>
      <c r="AF221" s="50"/>
      <c r="AL221" s="7"/>
      <c r="AM221" s="7"/>
      <c r="AN221" s="7"/>
      <c r="AO221" s="20"/>
      <c r="AP221" s="20"/>
      <c r="AQ221" s="20"/>
      <c r="AR221" s="20"/>
      <c r="AS221" s="20"/>
      <c r="AT221" s="20"/>
      <c r="AU221" s="20"/>
      <c r="AV221" s="20"/>
      <c r="BA221" s="20"/>
      <c r="BB221" s="20"/>
      <c r="BD221" s="7"/>
      <c r="CS221" s="9">
        <f t="shared" si="20"/>
        <v>0</v>
      </c>
      <c r="CT221" s="20">
        <f t="shared" si="21"/>
        <v>0</v>
      </c>
      <c r="CU221" s="20">
        <f t="shared" si="22"/>
        <v>0</v>
      </c>
      <c r="CV221" s="24">
        <f t="shared" si="23"/>
        <v>416.7</v>
      </c>
    </row>
    <row r="222" spans="1:100" x14ac:dyDescent="0.2">
      <c r="A222" s="7" t="s">
        <v>763</v>
      </c>
      <c r="B222" s="1">
        <v>149</v>
      </c>
      <c r="C222" s="2" t="s">
        <v>36</v>
      </c>
      <c r="D222" s="2" t="s">
        <v>37</v>
      </c>
      <c r="E222" s="1"/>
      <c r="F222" s="1"/>
      <c r="G222" s="1" t="s">
        <v>28</v>
      </c>
      <c r="H222" s="1">
        <v>5</v>
      </c>
      <c r="I222" s="18">
        <v>134.61000000000001</v>
      </c>
      <c r="J222" s="18">
        <v>41900</v>
      </c>
      <c r="K222" s="2">
        <v>0</v>
      </c>
      <c r="L222" s="2" t="s">
        <v>3</v>
      </c>
      <c r="M222" s="7" t="s">
        <v>0</v>
      </c>
      <c r="N222" s="7" t="s">
        <v>7</v>
      </c>
      <c r="O222" s="7" t="s">
        <v>674</v>
      </c>
      <c r="S222" s="7" t="s">
        <v>750</v>
      </c>
      <c r="V222" s="8">
        <v>12.5</v>
      </c>
      <c r="W222" s="8" t="s">
        <v>196</v>
      </c>
      <c r="X222" s="15">
        <v>45410</v>
      </c>
      <c r="Z222" s="17" t="s">
        <v>201</v>
      </c>
      <c r="AA222" s="118">
        <v>5500</v>
      </c>
      <c r="AB222" s="7">
        <v>12</v>
      </c>
      <c r="AC222" s="7">
        <v>12</v>
      </c>
      <c r="AD222" s="15">
        <v>45321</v>
      </c>
      <c r="AE222" s="50">
        <v>416.7</v>
      </c>
      <c r="AF222" s="5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BA222" s="20"/>
      <c r="BB222" s="20"/>
      <c r="BD222" s="7"/>
      <c r="CS222" s="9">
        <f t="shared" si="20"/>
        <v>0</v>
      </c>
      <c r="CT222" s="20">
        <f t="shared" si="21"/>
        <v>0</v>
      </c>
      <c r="CU222" s="20">
        <f t="shared" si="22"/>
        <v>0</v>
      </c>
      <c r="CV222" s="24">
        <f t="shared" si="23"/>
        <v>416.7</v>
      </c>
    </row>
    <row r="223" spans="1:100" x14ac:dyDescent="0.2">
      <c r="A223" s="7" t="s">
        <v>78</v>
      </c>
      <c r="B223" s="1">
        <v>65</v>
      </c>
      <c r="C223" s="2" t="s">
        <v>36</v>
      </c>
      <c r="D223" s="2" t="s">
        <v>37</v>
      </c>
      <c r="E223" s="1" t="s">
        <v>18</v>
      </c>
      <c r="F223" s="1">
        <v>9</v>
      </c>
      <c r="G223" s="1" t="s">
        <v>22</v>
      </c>
      <c r="H223" s="1">
        <v>8</v>
      </c>
      <c r="I223" s="18">
        <v>124.74</v>
      </c>
      <c r="J223" s="18">
        <v>35900</v>
      </c>
      <c r="K223" s="2">
        <v>0</v>
      </c>
      <c r="L223" s="2" t="s">
        <v>3</v>
      </c>
      <c r="M223" s="8" t="s">
        <v>0</v>
      </c>
      <c r="N223" s="8" t="s">
        <v>8</v>
      </c>
      <c r="O223" s="7" t="s">
        <v>79</v>
      </c>
      <c r="P223" s="7" t="s">
        <v>0</v>
      </c>
      <c r="Q223" s="28" t="s">
        <v>80</v>
      </c>
      <c r="R223" s="7" t="s">
        <v>81</v>
      </c>
      <c r="S223" s="7" t="s">
        <v>96</v>
      </c>
      <c r="V223" s="8">
        <v>124.74</v>
      </c>
      <c r="W223" s="8" t="s">
        <v>196</v>
      </c>
      <c r="X223" s="15">
        <v>44696</v>
      </c>
      <c r="Y223" s="15">
        <v>44698</v>
      </c>
      <c r="Z223" s="109" t="s">
        <v>201</v>
      </c>
      <c r="AA223" s="118">
        <v>33000</v>
      </c>
      <c r="AB223" s="7">
        <v>12</v>
      </c>
      <c r="AC223" s="7">
        <v>0</v>
      </c>
      <c r="AD223" s="15">
        <v>44696</v>
      </c>
      <c r="AE223" s="50">
        <v>500</v>
      </c>
      <c r="AF223" s="50"/>
      <c r="AG223" s="7" t="s">
        <v>72</v>
      </c>
      <c r="AH223" s="87">
        <v>44696</v>
      </c>
      <c r="AI223" s="82" t="s">
        <v>8</v>
      </c>
      <c r="AJ223" s="20" t="s">
        <v>562</v>
      </c>
      <c r="AK223" s="20" t="s">
        <v>82</v>
      </c>
      <c r="AL223" s="20">
        <v>500</v>
      </c>
      <c r="AM223" s="20"/>
      <c r="AN223" s="20" t="s">
        <v>506</v>
      </c>
      <c r="AO223" s="20"/>
      <c r="AP223" s="7"/>
      <c r="AQ223" s="7"/>
      <c r="AR223" s="7"/>
      <c r="AS223" s="7"/>
      <c r="AT223" s="7"/>
      <c r="AU223" s="7"/>
      <c r="AV223" s="7"/>
      <c r="AW223" s="39">
        <v>44696</v>
      </c>
      <c r="AX223" s="34">
        <v>643</v>
      </c>
      <c r="AY223" s="34"/>
      <c r="AZ223" s="34"/>
      <c r="BA223" s="38">
        <v>500</v>
      </c>
      <c r="BB223" s="20"/>
      <c r="BD223" s="7"/>
      <c r="CS223" s="9">
        <f t="shared" si="20"/>
        <v>500</v>
      </c>
      <c r="CT223" s="20">
        <f t="shared" si="21"/>
        <v>500</v>
      </c>
      <c r="CU223" s="20">
        <f t="shared" si="22"/>
        <v>0</v>
      </c>
      <c r="CV223" s="24">
        <f t="shared" si="23"/>
        <v>0</v>
      </c>
    </row>
    <row r="224" spans="1:100" x14ac:dyDescent="0.2">
      <c r="A224" s="7" t="s">
        <v>78</v>
      </c>
      <c r="B224" s="1">
        <v>65</v>
      </c>
      <c r="C224" s="2" t="s">
        <v>36</v>
      </c>
      <c r="D224" s="2" t="s">
        <v>37</v>
      </c>
      <c r="E224" s="1" t="s">
        <v>18</v>
      </c>
      <c r="F224" s="1">
        <v>9</v>
      </c>
      <c r="G224" s="1" t="s">
        <v>22</v>
      </c>
      <c r="H224" s="1">
        <v>8</v>
      </c>
      <c r="I224" s="18">
        <v>124.74</v>
      </c>
      <c r="J224" s="18">
        <v>35900</v>
      </c>
      <c r="K224" s="2">
        <v>0</v>
      </c>
      <c r="L224" s="2" t="s">
        <v>3</v>
      </c>
      <c r="M224" s="8" t="s">
        <v>0</v>
      </c>
      <c r="N224" s="8" t="s">
        <v>8</v>
      </c>
      <c r="O224" s="7" t="s">
        <v>79</v>
      </c>
      <c r="P224" s="7" t="s">
        <v>0</v>
      </c>
      <c r="Q224" s="28" t="s">
        <v>80</v>
      </c>
      <c r="R224" s="7" t="s">
        <v>81</v>
      </c>
      <c r="S224" s="7" t="s">
        <v>96</v>
      </c>
      <c r="V224" s="8">
        <v>124.74</v>
      </c>
      <c r="W224" s="8" t="s">
        <v>196</v>
      </c>
      <c r="X224" s="15">
        <v>44696</v>
      </c>
      <c r="Y224" s="15">
        <v>44698</v>
      </c>
      <c r="Z224" s="109" t="s">
        <v>201</v>
      </c>
      <c r="AA224" s="118">
        <v>33000</v>
      </c>
      <c r="AB224" s="7">
        <v>12</v>
      </c>
      <c r="AC224" s="7">
        <v>0</v>
      </c>
      <c r="AD224" s="15">
        <v>44701</v>
      </c>
      <c r="AE224" s="50">
        <v>18500</v>
      </c>
      <c r="AF224" s="50"/>
      <c r="AG224" s="7" t="s">
        <v>72</v>
      </c>
      <c r="AH224" s="87">
        <v>44701</v>
      </c>
      <c r="AI224" s="82" t="s">
        <v>8</v>
      </c>
      <c r="AJ224" s="20" t="s">
        <v>562</v>
      </c>
      <c r="AK224" s="20" t="s">
        <v>83</v>
      </c>
      <c r="AL224" s="20">
        <v>18500</v>
      </c>
      <c r="AM224" s="20"/>
      <c r="AN224" s="20" t="s">
        <v>511</v>
      </c>
      <c r="AO224" s="20"/>
      <c r="AP224" s="7"/>
      <c r="AQ224" s="7"/>
      <c r="AR224" s="7"/>
      <c r="AS224" s="7"/>
      <c r="AT224" s="7"/>
      <c r="AU224" s="7"/>
      <c r="AV224" s="7"/>
      <c r="AW224" s="39">
        <v>44701</v>
      </c>
      <c r="AX224" s="34">
        <v>657</v>
      </c>
      <c r="AY224" s="34"/>
      <c r="AZ224" s="34"/>
      <c r="BA224" s="38">
        <v>18500</v>
      </c>
      <c r="BB224" s="20"/>
      <c r="BD224" s="7"/>
      <c r="CS224" s="9">
        <f t="shared" si="20"/>
        <v>18500</v>
      </c>
      <c r="CT224" s="20">
        <f t="shared" si="21"/>
        <v>18500</v>
      </c>
      <c r="CU224" s="20">
        <f t="shared" si="22"/>
        <v>0</v>
      </c>
      <c r="CV224" s="24">
        <f t="shared" si="23"/>
        <v>0</v>
      </c>
    </row>
    <row r="225" spans="1:100" x14ac:dyDescent="0.2">
      <c r="A225" s="7" t="s">
        <v>78</v>
      </c>
      <c r="B225" s="1">
        <v>65</v>
      </c>
      <c r="C225" s="2" t="s">
        <v>36</v>
      </c>
      <c r="D225" s="2" t="s">
        <v>37</v>
      </c>
      <c r="E225" s="1" t="s">
        <v>18</v>
      </c>
      <c r="F225" s="1">
        <v>9</v>
      </c>
      <c r="G225" s="1" t="s">
        <v>22</v>
      </c>
      <c r="H225" s="1">
        <v>8</v>
      </c>
      <c r="I225" s="18">
        <v>124.74</v>
      </c>
      <c r="J225" s="18">
        <v>35900</v>
      </c>
      <c r="K225" s="2">
        <v>0</v>
      </c>
      <c r="L225" s="2" t="s">
        <v>3</v>
      </c>
      <c r="M225" s="8" t="s">
        <v>0</v>
      </c>
      <c r="N225" s="8" t="s">
        <v>8</v>
      </c>
      <c r="O225" s="7" t="s">
        <v>79</v>
      </c>
      <c r="P225" s="7" t="s">
        <v>0</v>
      </c>
      <c r="Q225" s="28" t="s">
        <v>80</v>
      </c>
      <c r="R225" s="7" t="s">
        <v>81</v>
      </c>
      <c r="S225" s="7" t="s">
        <v>96</v>
      </c>
      <c r="V225" s="8">
        <v>124.74</v>
      </c>
      <c r="W225" s="8" t="s">
        <v>196</v>
      </c>
      <c r="X225" s="15">
        <v>44696</v>
      </c>
      <c r="Y225" s="15">
        <v>44698</v>
      </c>
      <c r="Z225" s="109" t="s">
        <v>201</v>
      </c>
      <c r="AA225" s="118">
        <v>33000</v>
      </c>
      <c r="AB225" s="7">
        <v>12</v>
      </c>
      <c r="AC225" s="7">
        <v>1</v>
      </c>
      <c r="AD225" s="15">
        <v>44747</v>
      </c>
      <c r="AE225" s="50">
        <v>1166.67</v>
      </c>
      <c r="AF225" s="50"/>
      <c r="AG225" s="7" t="s">
        <v>72</v>
      </c>
      <c r="AH225" s="87">
        <v>44754</v>
      </c>
      <c r="AI225" s="82" t="s">
        <v>8</v>
      </c>
      <c r="AJ225" s="20" t="s">
        <v>562</v>
      </c>
      <c r="AK225" s="20" t="s">
        <v>84</v>
      </c>
      <c r="AL225" s="20">
        <v>1166.67</v>
      </c>
      <c r="AM225" s="20"/>
      <c r="AN225" s="20" t="s">
        <v>515</v>
      </c>
      <c r="AO225" s="20"/>
      <c r="AP225" s="7"/>
      <c r="AQ225" s="7"/>
      <c r="AR225" s="7"/>
      <c r="AS225" s="7"/>
      <c r="AT225" s="7"/>
      <c r="AU225" s="7"/>
      <c r="AV225" s="7"/>
      <c r="AW225" s="39">
        <v>45842</v>
      </c>
      <c r="AX225" s="34">
        <v>763</v>
      </c>
      <c r="AY225" s="34"/>
      <c r="AZ225" s="34"/>
      <c r="BA225" s="38">
        <v>1166.67</v>
      </c>
      <c r="BB225" s="20"/>
      <c r="BD225" s="7"/>
      <c r="CS225" s="9">
        <f t="shared" si="20"/>
        <v>1166.67</v>
      </c>
      <c r="CT225" s="20">
        <f t="shared" si="21"/>
        <v>1166.67</v>
      </c>
      <c r="CU225" s="20">
        <f t="shared" si="22"/>
        <v>0</v>
      </c>
      <c r="CV225" s="24">
        <f t="shared" si="23"/>
        <v>0</v>
      </c>
    </row>
    <row r="226" spans="1:100" x14ac:dyDescent="0.2">
      <c r="A226" s="7" t="s">
        <v>78</v>
      </c>
      <c r="B226" s="1">
        <v>65</v>
      </c>
      <c r="C226" s="2" t="s">
        <v>36</v>
      </c>
      <c r="D226" s="2" t="s">
        <v>37</v>
      </c>
      <c r="E226" s="1" t="s">
        <v>18</v>
      </c>
      <c r="F226" s="1">
        <v>9</v>
      </c>
      <c r="G226" s="1" t="s">
        <v>22</v>
      </c>
      <c r="H226" s="1">
        <v>8</v>
      </c>
      <c r="I226" s="18">
        <v>124.74</v>
      </c>
      <c r="J226" s="18">
        <v>35900</v>
      </c>
      <c r="K226" s="2">
        <v>0</v>
      </c>
      <c r="L226" s="2" t="s">
        <v>3</v>
      </c>
      <c r="M226" s="8" t="s">
        <v>0</v>
      </c>
      <c r="N226" s="8" t="s">
        <v>8</v>
      </c>
      <c r="O226" s="7" t="s">
        <v>79</v>
      </c>
      <c r="P226" s="7" t="s">
        <v>0</v>
      </c>
      <c r="Q226" s="28" t="s">
        <v>80</v>
      </c>
      <c r="R226" s="7" t="s">
        <v>81</v>
      </c>
      <c r="S226" s="7" t="s">
        <v>96</v>
      </c>
      <c r="V226" s="8">
        <v>124.74</v>
      </c>
      <c r="W226" s="8" t="s">
        <v>196</v>
      </c>
      <c r="X226" s="15">
        <v>44696</v>
      </c>
      <c r="Y226" s="15">
        <v>44698</v>
      </c>
      <c r="Z226" s="109" t="s">
        <v>201</v>
      </c>
      <c r="AA226" s="118">
        <v>33000</v>
      </c>
      <c r="AB226" s="7">
        <v>12</v>
      </c>
      <c r="AC226" s="7">
        <v>2</v>
      </c>
      <c r="AD226" s="15">
        <v>44778</v>
      </c>
      <c r="AE226" s="50">
        <v>1166.67</v>
      </c>
      <c r="AF226" s="50"/>
      <c r="AG226" s="7" t="s">
        <v>72</v>
      </c>
      <c r="AH226" s="87">
        <v>44764</v>
      </c>
      <c r="AI226" s="82" t="s">
        <v>8</v>
      </c>
      <c r="AJ226" s="20" t="s">
        <v>562</v>
      </c>
      <c r="AK226" s="20" t="s">
        <v>85</v>
      </c>
      <c r="AL226" s="20">
        <v>1166.67</v>
      </c>
      <c r="AM226" s="20"/>
      <c r="AN226" s="20" t="s">
        <v>518</v>
      </c>
      <c r="AO226" s="20"/>
      <c r="AP226" s="7"/>
      <c r="AQ226" s="7"/>
      <c r="AR226" s="7"/>
      <c r="AS226" s="7"/>
      <c r="AT226" s="7"/>
      <c r="AU226" s="7"/>
      <c r="AV226" s="7"/>
      <c r="AW226" s="39">
        <v>44760</v>
      </c>
      <c r="AX226" s="34">
        <v>798</v>
      </c>
      <c r="AY226" s="34"/>
      <c r="AZ226" s="34"/>
      <c r="BA226" s="38">
        <v>1166.67</v>
      </c>
      <c r="BB226" s="20"/>
      <c r="BD226" s="7"/>
      <c r="CS226" s="9">
        <f t="shared" si="20"/>
        <v>1166.67</v>
      </c>
      <c r="CT226" s="20">
        <f t="shared" si="21"/>
        <v>1166.67</v>
      </c>
      <c r="CU226" s="20">
        <f t="shared" si="22"/>
        <v>0</v>
      </c>
      <c r="CV226" s="24">
        <f t="shared" si="23"/>
        <v>0</v>
      </c>
    </row>
    <row r="227" spans="1:100" x14ac:dyDescent="0.2">
      <c r="A227" s="7" t="s">
        <v>78</v>
      </c>
      <c r="B227" s="1">
        <v>65</v>
      </c>
      <c r="C227" s="2" t="s">
        <v>36</v>
      </c>
      <c r="D227" s="2" t="s">
        <v>37</v>
      </c>
      <c r="E227" s="1" t="s">
        <v>18</v>
      </c>
      <c r="F227" s="1">
        <v>9</v>
      </c>
      <c r="G227" s="1" t="s">
        <v>22</v>
      </c>
      <c r="H227" s="1">
        <v>8</v>
      </c>
      <c r="I227" s="18">
        <v>124.74</v>
      </c>
      <c r="J227" s="18">
        <v>35900</v>
      </c>
      <c r="K227" s="2">
        <v>0</v>
      </c>
      <c r="L227" s="2" t="s">
        <v>3</v>
      </c>
      <c r="M227" s="8" t="s">
        <v>0</v>
      </c>
      <c r="N227" s="8" t="s">
        <v>8</v>
      </c>
      <c r="O227" s="7" t="s">
        <v>79</v>
      </c>
      <c r="P227" s="7" t="s">
        <v>0</v>
      </c>
      <c r="Q227" s="28" t="s">
        <v>80</v>
      </c>
      <c r="R227" s="7" t="s">
        <v>81</v>
      </c>
      <c r="S227" s="7" t="s">
        <v>96</v>
      </c>
      <c r="V227" s="8">
        <v>124.74</v>
      </c>
      <c r="W227" s="8" t="s">
        <v>196</v>
      </c>
      <c r="X227" s="15">
        <v>44696</v>
      </c>
      <c r="Y227" s="15">
        <v>44698</v>
      </c>
      <c r="Z227" s="109" t="s">
        <v>201</v>
      </c>
      <c r="AA227" s="118">
        <v>33000</v>
      </c>
      <c r="AB227" s="7">
        <v>12</v>
      </c>
      <c r="AC227" s="7">
        <v>3</v>
      </c>
      <c r="AD227" s="15">
        <v>44809</v>
      </c>
      <c r="AE227" s="50">
        <v>1166.67</v>
      </c>
      <c r="AF227" s="50"/>
      <c r="AG227" s="7" t="s">
        <v>72</v>
      </c>
      <c r="AH227" s="90">
        <v>44810</v>
      </c>
      <c r="AI227" s="82" t="s">
        <v>8</v>
      </c>
      <c r="AJ227" s="20" t="s">
        <v>562</v>
      </c>
      <c r="AK227" s="33" t="s">
        <v>86</v>
      </c>
      <c r="AL227" s="33">
        <v>1167</v>
      </c>
      <c r="AM227" s="33"/>
      <c r="AN227" s="33" t="s">
        <v>522</v>
      </c>
      <c r="AO227" s="20"/>
      <c r="AP227" s="7"/>
      <c r="AQ227" s="7"/>
      <c r="AR227" s="7"/>
      <c r="AS227" s="7"/>
      <c r="AT227" s="7"/>
      <c r="AU227" s="7"/>
      <c r="AV227" s="7"/>
      <c r="AW227" s="39">
        <v>44806</v>
      </c>
      <c r="AX227" s="34">
        <v>917</v>
      </c>
      <c r="AY227" s="34"/>
      <c r="AZ227" s="34"/>
      <c r="BA227" s="100">
        <v>1167</v>
      </c>
      <c r="BB227" s="20"/>
      <c r="BD227" s="7"/>
      <c r="BG227" s="34"/>
      <c r="CS227" s="9">
        <f t="shared" si="20"/>
        <v>1167</v>
      </c>
      <c r="CT227" s="20">
        <f t="shared" si="21"/>
        <v>1167</v>
      </c>
      <c r="CU227" s="20">
        <f t="shared" si="22"/>
        <v>0</v>
      </c>
      <c r="CV227" s="24">
        <f t="shared" si="23"/>
        <v>-0.32999999999992724</v>
      </c>
    </row>
    <row r="228" spans="1:100" x14ac:dyDescent="0.2">
      <c r="A228" s="7" t="s">
        <v>78</v>
      </c>
      <c r="B228" s="1">
        <v>65</v>
      </c>
      <c r="C228" s="2" t="s">
        <v>36</v>
      </c>
      <c r="D228" s="2" t="s">
        <v>37</v>
      </c>
      <c r="E228" s="1" t="s">
        <v>18</v>
      </c>
      <c r="F228" s="1">
        <v>9</v>
      </c>
      <c r="G228" s="1" t="s">
        <v>22</v>
      </c>
      <c r="H228" s="1">
        <v>8</v>
      </c>
      <c r="I228" s="18">
        <v>124.74</v>
      </c>
      <c r="J228" s="18">
        <v>35900</v>
      </c>
      <c r="K228" s="2">
        <v>0</v>
      </c>
      <c r="L228" s="2" t="s">
        <v>3</v>
      </c>
      <c r="M228" s="8" t="s">
        <v>0</v>
      </c>
      <c r="N228" s="8" t="s">
        <v>8</v>
      </c>
      <c r="O228" s="7" t="s">
        <v>79</v>
      </c>
      <c r="P228" s="7" t="s">
        <v>0</v>
      </c>
      <c r="Q228" s="28" t="s">
        <v>80</v>
      </c>
      <c r="R228" s="7" t="s">
        <v>81</v>
      </c>
      <c r="S228" s="7" t="s">
        <v>96</v>
      </c>
      <c r="V228" s="8">
        <v>124.74</v>
      </c>
      <c r="W228" s="8" t="s">
        <v>196</v>
      </c>
      <c r="X228" s="15">
        <v>44696</v>
      </c>
      <c r="Y228" s="15">
        <v>44698</v>
      </c>
      <c r="Z228" s="109" t="s">
        <v>201</v>
      </c>
      <c r="AA228" s="118">
        <v>33000</v>
      </c>
      <c r="AB228" s="7">
        <v>12</v>
      </c>
      <c r="AC228" s="7">
        <v>4</v>
      </c>
      <c r="AD228" s="15">
        <v>44839</v>
      </c>
      <c r="AE228" s="50">
        <v>1166.67</v>
      </c>
      <c r="AF228" s="50"/>
      <c r="AG228" s="7" t="s">
        <v>72</v>
      </c>
      <c r="AH228" s="87">
        <v>44841</v>
      </c>
      <c r="AI228" s="82" t="s">
        <v>8</v>
      </c>
      <c r="AJ228" s="20" t="s">
        <v>562</v>
      </c>
      <c r="AK228" s="20" t="s">
        <v>87</v>
      </c>
      <c r="AL228" s="20">
        <v>1167</v>
      </c>
      <c r="AM228" s="20"/>
      <c r="AN228" s="20" t="s">
        <v>526</v>
      </c>
      <c r="AO228" s="20"/>
      <c r="AP228" s="7"/>
      <c r="AQ228" s="7"/>
      <c r="AR228" s="7"/>
      <c r="AS228" s="7"/>
      <c r="AT228" s="7"/>
      <c r="AU228" s="7"/>
      <c r="AV228" s="7"/>
      <c r="AW228" s="39">
        <v>44841</v>
      </c>
      <c r="AX228" s="34">
        <v>993</v>
      </c>
      <c r="AY228" s="34"/>
      <c r="AZ228" s="34"/>
      <c r="BA228" s="38">
        <v>750.34</v>
      </c>
      <c r="BB228" s="38"/>
      <c r="BC228" s="39">
        <v>44840</v>
      </c>
      <c r="BD228" s="34">
        <v>995</v>
      </c>
      <c r="BE228" s="34"/>
      <c r="BF228" s="34"/>
      <c r="BG228" s="34">
        <v>416.66</v>
      </c>
      <c r="CS228" s="9">
        <f t="shared" si="20"/>
        <v>1167</v>
      </c>
      <c r="CT228" s="20">
        <f t="shared" si="21"/>
        <v>1167</v>
      </c>
      <c r="CU228" s="20">
        <f t="shared" si="22"/>
        <v>0</v>
      </c>
      <c r="CV228" s="24">
        <f t="shared" si="23"/>
        <v>-0.32999999999992724</v>
      </c>
    </row>
    <row r="229" spans="1:100" x14ac:dyDescent="0.2">
      <c r="A229" s="7" t="s">
        <v>78</v>
      </c>
      <c r="B229" s="1">
        <v>65</v>
      </c>
      <c r="C229" s="2" t="s">
        <v>36</v>
      </c>
      <c r="D229" s="2" t="s">
        <v>37</v>
      </c>
      <c r="E229" s="1" t="s">
        <v>18</v>
      </c>
      <c r="F229" s="1">
        <v>9</v>
      </c>
      <c r="G229" s="1" t="s">
        <v>22</v>
      </c>
      <c r="H229" s="1">
        <v>8</v>
      </c>
      <c r="I229" s="18">
        <v>124.74</v>
      </c>
      <c r="J229" s="18">
        <v>35900</v>
      </c>
      <c r="K229" s="2">
        <v>0</v>
      </c>
      <c r="L229" s="2" t="s">
        <v>3</v>
      </c>
      <c r="M229" s="8" t="s">
        <v>0</v>
      </c>
      <c r="N229" s="8" t="s">
        <v>8</v>
      </c>
      <c r="O229" s="7" t="s">
        <v>79</v>
      </c>
      <c r="P229" s="7" t="s">
        <v>0</v>
      </c>
      <c r="Q229" s="28" t="s">
        <v>80</v>
      </c>
      <c r="R229" s="7" t="s">
        <v>81</v>
      </c>
      <c r="S229" s="7" t="s">
        <v>96</v>
      </c>
      <c r="V229" s="8">
        <v>124.74</v>
      </c>
      <c r="W229" s="8" t="s">
        <v>196</v>
      </c>
      <c r="X229" s="15">
        <v>44696</v>
      </c>
      <c r="Y229" s="15">
        <v>44698</v>
      </c>
      <c r="Z229" s="109" t="s">
        <v>201</v>
      </c>
      <c r="AA229" s="118">
        <v>33000</v>
      </c>
      <c r="AB229" s="7">
        <v>12</v>
      </c>
      <c r="AC229" s="7">
        <v>5</v>
      </c>
      <c r="AD229" s="15">
        <v>44870</v>
      </c>
      <c r="AE229" s="50">
        <v>1166.67</v>
      </c>
      <c r="AF229" s="50"/>
      <c r="AG229" s="7" t="s">
        <v>72</v>
      </c>
      <c r="AH229" s="87">
        <v>44874</v>
      </c>
      <c r="AI229" s="82" t="s">
        <v>8</v>
      </c>
      <c r="AJ229" s="20" t="s">
        <v>562</v>
      </c>
      <c r="AK229" s="20" t="s">
        <v>88</v>
      </c>
      <c r="AL229" s="20">
        <v>1167</v>
      </c>
      <c r="AM229" s="20"/>
      <c r="AN229" s="20" t="s">
        <v>530</v>
      </c>
      <c r="AO229" s="20"/>
      <c r="AP229" s="7"/>
      <c r="AQ229" s="7"/>
      <c r="AR229" s="7"/>
      <c r="AS229" s="7"/>
      <c r="AT229" s="7"/>
      <c r="AU229" s="7"/>
      <c r="AV229" s="7"/>
      <c r="AW229" s="39">
        <v>44869</v>
      </c>
      <c r="AX229" s="34">
        <v>1056</v>
      </c>
      <c r="AY229" s="34"/>
      <c r="AZ229" s="34"/>
      <c r="BA229" s="38">
        <v>333.65</v>
      </c>
      <c r="BB229" s="38"/>
      <c r="BC229" s="39">
        <v>44872</v>
      </c>
      <c r="BD229" s="34">
        <v>1058</v>
      </c>
      <c r="BE229" s="34"/>
      <c r="BF229" s="34"/>
      <c r="BG229" s="34">
        <v>833.35</v>
      </c>
      <c r="CS229" s="9">
        <f t="shared" si="20"/>
        <v>1167</v>
      </c>
      <c r="CT229" s="20">
        <f t="shared" si="21"/>
        <v>1167</v>
      </c>
      <c r="CU229" s="20">
        <f t="shared" si="22"/>
        <v>0</v>
      </c>
      <c r="CV229" s="24">
        <f t="shared" si="23"/>
        <v>-0.32999999999992724</v>
      </c>
    </row>
    <row r="230" spans="1:100" x14ac:dyDescent="0.2">
      <c r="A230" s="7" t="s">
        <v>78</v>
      </c>
      <c r="B230" s="1">
        <v>65</v>
      </c>
      <c r="C230" s="2" t="s">
        <v>36</v>
      </c>
      <c r="D230" s="2" t="s">
        <v>37</v>
      </c>
      <c r="E230" s="1" t="s">
        <v>18</v>
      </c>
      <c r="F230" s="1">
        <v>9</v>
      </c>
      <c r="G230" s="1" t="s">
        <v>22</v>
      </c>
      <c r="H230" s="1">
        <v>8</v>
      </c>
      <c r="I230" s="18">
        <v>124.74</v>
      </c>
      <c r="J230" s="18">
        <v>35900</v>
      </c>
      <c r="K230" s="2">
        <v>0</v>
      </c>
      <c r="L230" s="2" t="s">
        <v>3</v>
      </c>
      <c r="M230" s="8" t="s">
        <v>0</v>
      </c>
      <c r="N230" s="8" t="s">
        <v>8</v>
      </c>
      <c r="O230" s="7" t="s">
        <v>79</v>
      </c>
      <c r="P230" s="7" t="s">
        <v>0</v>
      </c>
      <c r="Q230" s="28" t="s">
        <v>80</v>
      </c>
      <c r="R230" s="7" t="s">
        <v>81</v>
      </c>
      <c r="S230" s="7" t="s">
        <v>96</v>
      </c>
      <c r="V230" s="8">
        <v>124.74</v>
      </c>
      <c r="W230" s="8" t="s">
        <v>196</v>
      </c>
      <c r="X230" s="15">
        <v>44696</v>
      </c>
      <c r="Y230" s="15">
        <v>44698</v>
      </c>
      <c r="Z230" s="109" t="s">
        <v>201</v>
      </c>
      <c r="AA230" s="118">
        <v>33000</v>
      </c>
      <c r="AB230" s="7">
        <v>12</v>
      </c>
      <c r="AC230" s="7">
        <v>6</v>
      </c>
      <c r="AD230" s="15">
        <v>44900</v>
      </c>
      <c r="AE230" s="50">
        <v>1166.67</v>
      </c>
      <c r="AF230" s="50"/>
      <c r="AG230" s="7" t="s">
        <v>72</v>
      </c>
      <c r="AH230" s="87">
        <v>44960</v>
      </c>
      <c r="AI230" s="82" t="s">
        <v>8</v>
      </c>
      <c r="AJ230" s="20" t="s">
        <v>562</v>
      </c>
      <c r="AK230" s="20" t="s">
        <v>90</v>
      </c>
      <c r="AL230" s="20">
        <v>1166.67</v>
      </c>
      <c r="AM230" s="20"/>
      <c r="AN230" s="20" t="s">
        <v>539</v>
      </c>
      <c r="AO230" s="33"/>
      <c r="AP230" s="7"/>
      <c r="AQ230" s="7"/>
      <c r="AR230" s="7"/>
      <c r="AS230" s="7"/>
      <c r="AT230" s="7"/>
      <c r="AU230" s="7"/>
      <c r="AV230" s="7"/>
      <c r="AW230" s="101">
        <v>44900</v>
      </c>
      <c r="AX230" s="102">
        <v>1090</v>
      </c>
      <c r="AY230" s="102"/>
      <c r="AZ230" s="102"/>
      <c r="BA230" s="38">
        <v>1166.67</v>
      </c>
      <c r="BB230" s="33"/>
      <c r="BD230" s="7"/>
      <c r="CS230" s="9">
        <f t="shared" si="20"/>
        <v>1166.67</v>
      </c>
      <c r="CT230" s="20">
        <f t="shared" si="21"/>
        <v>1166.67</v>
      </c>
      <c r="CU230" s="20">
        <f t="shared" si="22"/>
        <v>0</v>
      </c>
      <c r="CV230" s="24">
        <f t="shared" si="23"/>
        <v>0</v>
      </c>
    </row>
    <row r="231" spans="1:100" x14ac:dyDescent="0.2">
      <c r="A231" s="7" t="s">
        <v>78</v>
      </c>
      <c r="B231" s="1">
        <v>65</v>
      </c>
      <c r="C231" s="2" t="s">
        <v>36</v>
      </c>
      <c r="D231" s="2" t="s">
        <v>37</v>
      </c>
      <c r="E231" s="1" t="s">
        <v>18</v>
      </c>
      <c r="F231" s="1">
        <v>9</v>
      </c>
      <c r="G231" s="1" t="s">
        <v>22</v>
      </c>
      <c r="H231" s="1">
        <v>8</v>
      </c>
      <c r="I231" s="18">
        <v>124.74</v>
      </c>
      <c r="J231" s="18">
        <v>35900</v>
      </c>
      <c r="K231" s="2">
        <v>0</v>
      </c>
      <c r="L231" s="2" t="s">
        <v>3</v>
      </c>
      <c r="M231" s="8" t="s">
        <v>0</v>
      </c>
      <c r="N231" s="8" t="s">
        <v>8</v>
      </c>
      <c r="O231" s="7" t="s">
        <v>79</v>
      </c>
      <c r="P231" s="7" t="s">
        <v>0</v>
      </c>
      <c r="Q231" s="28" t="s">
        <v>80</v>
      </c>
      <c r="R231" s="7" t="s">
        <v>81</v>
      </c>
      <c r="S231" s="7" t="s">
        <v>96</v>
      </c>
      <c r="V231" s="8">
        <v>124.74</v>
      </c>
      <c r="W231" s="8" t="s">
        <v>196</v>
      </c>
      <c r="X231" s="15">
        <v>44696</v>
      </c>
      <c r="Y231" s="15">
        <v>44698</v>
      </c>
      <c r="Z231" s="109" t="s">
        <v>201</v>
      </c>
      <c r="AA231" s="118">
        <v>33000</v>
      </c>
      <c r="AB231" s="7">
        <v>12</v>
      </c>
      <c r="AC231" s="7">
        <v>7</v>
      </c>
      <c r="AD231" s="15">
        <v>44931</v>
      </c>
      <c r="AE231" s="50">
        <v>1166.67</v>
      </c>
      <c r="AF231" s="50"/>
      <c r="AG231" s="7" t="s">
        <v>72</v>
      </c>
      <c r="AH231" s="87">
        <v>44938</v>
      </c>
      <c r="AI231" s="82" t="s">
        <v>8</v>
      </c>
      <c r="AJ231" s="20" t="s">
        <v>562</v>
      </c>
      <c r="AK231" s="20" t="s">
        <v>89</v>
      </c>
      <c r="AL231" s="20">
        <v>1166.67</v>
      </c>
      <c r="AM231" s="20"/>
      <c r="AN231" s="20" t="s">
        <v>536</v>
      </c>
      <c r="AO231" s="33"/>
      <c r="AP231" s="7"/>
      <c r="AQ231" s="7"/>
      <c r="AR231" s="7"/>
      <c r="AS231" s="7"/>
      <c r="AT231" s="7"/>
      <c r="AU231" s="7"/>
      <c r="AV231" s="7"/>
      <c r="AW231" s="101">
        <v>44936</v>
      </c>
      <c r="AX231" s="102">
        <v>1141</v>
      </c>
      <c r="AY231" s="102"/>
      <c r="AZ231" s="102"/>
      <c r="BA231" s="38">
        <v>1166.67</v>
      </c>
      <c r="BB231" s="33"/>
      <c r="BD231" s="7"/>
      <c r="CS231" s="9">
        <f t="shared" si="20"/>
        <v>1166.67</v>
      </c>
      <c r="CT231" s="20">
        <f t="shared" si="21"/>
        <v>1166.67</v>
      </c>
      <c r="CU231" s="20">
        <f t="shared" si="22"/>
        <v>0</v>
      </c>
      <c r="CV231" s="24">
        <f t="shared" si="23"/>
        <v>0</v>
      </c>
    </row>
    <row r="232" spans="1:100" x14ac:dyDescent="0.2">
      <c r="A232" s="7" t="s">
        <v>78</v>
      </c>
      <c r="B232" s="1">
        <v>65</v>
      </c>
      <c r="C232" s="2" t="s">
        <v>36</v>
      </c>
      <c r="D232" s="2" t="s">
        <v>37</v>
      </c>
      <c r="E232" s="1" t="s">
        <v>18</v>
      </c>
      <c r="F232" s="1">
        <v>9</v>
      </c>
      <c r="G232" s="1" t="s">
        <v>22</v>
      </c>
      <c r="H232" s="1">
        <v>8</v>
      </c>
      <c r="I232" s="18">
        <v>124.74</v>
      </c>
      <c r="J232" s="18">
        <v>35900</v>
      </c>
      <c r="K232" s="2">
        <v>0</v>
      </c>
      <c r="L232" s="2" t="s">
        <v>3</v>
      </c>
      <c r="M232" s="8" t="s">
        <v>0</v>
      </c>
      <c r="N232" s="8" t="s">
        <v>8</v>
      </c>
      <c r="O232" s="7" t="s">
        <v>79</v>
      </c>
      <c r="P232" s="7" t="s">
        <v>0</v>
      </c>
      <c r="Q232" s="28" t="s">
        <v>80</v>
      </c>
      <c r="R232" s="7" t="s">
        <v>81</v>
      </c>
      <c r="S232" s="7" t="s">
        <v>96</v>
      </c>
      <c r="V232" s="8">
        <v>124.74</v>
      </c>
      <c r="W232" s="8" t="s">
        <v>196</v>
      </c>
      <c r="X232" s="15">
        <v>44696</v>
      </c>
      <c r="Y232" s="15">
        <v>44698</v>
      </c>
      <c r="Z232" s="109" t="s">
        <v>201</v>
      </c>
      <c r="AA232" s="118">
        <v>33000</v>
      </c>
      <c r="AB232" s="7">
        <v>12</v>
      </c>
      <c r="AC232" s="7">
        <v>8</v>
      </c>
      <c r="AD232" s="15">
        <v>44962</v>
      </c>
      <c r="AE232" s="50">
        <v>1166.67</v>
      </c>
      <c r="AF232" s="50"/>
      <c r="AG232" s="7" t="s">
        <v>72</v>
      </c>
      <c r="AH232" s="87">
        <v>44961</v>
      </c>
      <c r="AI232" s="82" t="s">
        <v>8</v>
      </c>
      <c r="AJ232" s="20" t="s">
        <v>562</v>
      </c>
      <c r="AK232" s="20" t="s">
        <v>91</v>
      </c>
      <c r="AL232" s="20">
        <v>1166.67</v>
      </c>
      <c r="AM232" s="20"/>
      <c r="AN232" s="20" t="s">
        <v>540</v>
      </c>
      <c r="AO232" s="33"/>
      <c r="AP232" s="7"/>
      <c r="AQ232" s="7"/>
      <c r="AR232" s="7"/>
      <c r="AS232" s="7"/>
      <c r="AT232" s="7"/>
      <c r="AU232" s="7"/>
      <c r="AV232" s="7"/>
      <c r="AW232" s="101">
        <v>44958</v>
      </c>
      <c r="AX232" s="102">
        <v>1186</v>
      </c>
      <c r="AY232" s="102"/>
      <c r="AZ232" s="102"/>
      <c r="BA232" s="38">
        <v>1166.67</v>
      </c>
      <c r="BB232" s="33"/>
      <c r="BD232" s="7"/>
      <c r="CS232" s="9">
        <f t="shared" si="20"/>
        <v>1166.67</v>
      </c>
      <c r="CT232" s="20">
        <f t="shared" si="21"/>
        <v>1166.67</v>
      </c>
      <c r="CU232" s="20">
        <f t="shared" si="22"/>
        <v>0</v>
      </c>
      <c r="CV232" s="24">
        <f t="shared" si="23"/>
        <v>0</v>
      </c>
    </row>
    <row r="233" spans="1:100" x14ac:dyDescent="0.2">
      <c r="A233" s="7" t="s">
        <v>78</v>
      </c>
      <c r="B233" s="1">
        <v>65</v>
      </c>
      <c r="C233" s="2" t="s">
        <v>36</v>
      </c>
      <c r="D233" s="2" t="s">
        <v>37</v>
      </c>
      <c r="E233" s="1" t="s">
        <v>18</v>
      </c>
      <c r="F233" s="1">
        <v>9</v>
      </c>
      <c r="G233" s="1" t="s">
        <v>22</v>
      </c>
      <c r="H233" s="1">
        <v>8</v>
      </c>
      <c r="I233" s="18">
        <v>124.74</v>
      </c>
      <c r="J233" s="18">
        <v>35900</v>
      </c>
      <c r="K233" s="2">
        <v>0</v>
      </c>
      <c r="L233" s="2" t="s">
        <v>3</v>
      </c>
      <c r="M233" s="8" t="s">
        <v>0</v>
      </c>
      <c r="N233" s="8" t="s">
        <v>8</v>
      </c>
      <c r="O233" s="7" t="s">
        <v>79</v>
      </c>
      <c r="P233" s="7" t="s">
        <v>0</v>
      </c>
      <c r="Q233" s="28" t="s">
        <v>80</v>
      </c>
      <c r="R233" s="7" t="s">
        <v>81</v>
      </c>
      <c r="S233" s="7" t="s">
        <v>96</v>
      </c>
      <c r="V233" s="8">
        <v>124.74</v>
      </c>
      <c r="W233" s="8" t="s">
        <v>196</v>
      </c>
      <c r="X233" s="15">
        <v>44696</v>
      </c>
      <c r="Y233" s="15">
        <v>44698</v>
      </c>
      <c r="Z233" s="109" t="s">
        <v>201</v>
      </c>
      <c r="AA233" s="118">
        <v>33000</v>
      </c>
      <c r="AB233" s="7">
        <v>12</v>
      </c>
      <c r="AC233" s="7">
        <v>9</v>
      </c>
      <c r="AD233" s="15">
        <v>44990</v>
      </c>
      <c r="AE233" s="50">
        <v>1166.67</v>
      </c>
      <c r="AF233" s="50"/>
      <c r="AG233" s="7" t="s">
        <v>72</v>
      </c>
      <c r="AH233" s="87">
        <v>44998</v>
      </c>
      <c r="AI233" s="82" t="s">
        <v>8</v>
      </c>
      <c r="AJ233" s="20" t="s">
        <v>562</v>
      </c>
      <c r="AK233" s="20" t="s">
        <v>92</v>
      </c>
      <c r="AL233" s="20">
        <v>1166.67</v>
      </c>
      <c r="AM233" s="20"/>
      <c r="AN233" s="20" t="s">
        <v>547</v>
      </c>
      <c r="AO233" s="20"/>
      <c r="AP233" s="7"/>
      <c r="AQ233" s="7"/>
      <c r="AR233" s="7"/>
      <c r="AS233" s="7"/>
      <c r="AT233" s="7"/>
      <c r="AU233" s="7"/>
      <c r="AV233" s="7"/>
      <c r="AW233" s="39">
        <v>44993</v>
      </c>
      <c r="AX233" s="34">
        <v>1300</v>
      </c>
      <c r="AY233" s="34"/>
      <c r="AZ233" s="34"/>
      <c r="BA233" s="38">
        <v>1166.67</v>
      </c>
      <c r="BB233" s="20"/>
      <c r="BD233" s="7"/>
      <c r="CS233" s="9">
        <f t="shared" si="20"/>
        <v>1166.67</v>
      </c>
      <c r="CT233" s="20">
        <f t="shared" si="21"/>
        <v>1166.67</v>
      </c>
      <c r="CU233" s="20">
        <f t="shared" si="22"/>
        <v>0</v>
      </c>
      <c r="CV233" s="24">
        <f t="shared" si="23"/>
        <v>0</v>
      </c>
    </row>
    <row r="234" spans="1:100" x14ac:dyDescent="0.2">
      <c r="A234" s="7" t="s">
        <v>78</v>
      </c>
      <c r="B234" s="1">
        <v>65</v>
      </c>
      <c r="C234" s="2" t="s">
        <v>36</v>
      </c>
      <c r="D234" s="2" t="s">
        <v>37</v>
      </c>
      <c r="E234" s="1" t="s">
        <v>18</v>
      </c>
      <c r="F234" s="1">
        <v>9</v>
      </c>
      <c r="G234" s="1" t="s">
        <v>22</v>
      </c>
      <c r="H234" s="1">
        <v>8</v>
      </c>
      <c r="I234" s="18">
        <v>124.74</v>
      </c>
      <c r="J234" s="18">
        <v>35900</v>
      </c>
      <c r="K234" s="2">
        <v>0</v>
      </c>
      <c r="L234" s="2" t="s">
        <v>3</v>
      </c>
      <c r="M234" s="8" t="s">
        <v>0</v>
      </c>
      <c r="N234" s="8" t="s">
        <v>8</v>
      </c>
      <c r="O234" s="7" t="s">
        <v>79</v>
      </c>
      <c r="P234" s="7" t="s">
        <v>0</v>
      </c>
      <c r="Q234" s="28" t="s">
        <v>80</v>
      </c>
      <c r="R234" s="7" t="s">
        <v>81</v>
      </c>
      <c r="S234" s="7" t="s">
        <v>96</v>
      </c>
      <c r="V234" s="8">
        <v>124.74</v>
      </c>
      <c r="W234" s="8" t="s">
        <v>196</v>
      </c>
      <c r="X234" s="15">
        <v>44696</v>
      </c>
      <c r="Y234" s="15">
        <v>44698</v>
      </c>
      <c r="Z234" s="109" t="s">
        <v>201</v>
      </c>
      <c r="AA234" s="118">
        <v>33000</v>
      </c>
      <c r="AB234" s="7">
        <v>12</v>
      </c>
      <c r="AC234" s="7">
        <v>10</v>
      </c>
      <c r="AD234" s="15">
        <v>45021</v>
      </c>
      <c r="AE234" s="50">
        <v>1166.67</v>
      </c>
      <c r="AF234" s="50"/>
      <c r="AG234" s="7" t="s">
        <v>72</v>
      </c>
      <c r="AH234" s="87">
        <v>45029</v>
      </c>
      <c r="AI234" s="82" t="s">
        <v>8</v>
      </c>
      <c r="AJ234" s="20" t="s">
        <v>562</v>
      </c>
      <c r="AK234" s="20" t="s">
        <v>93</v>
      </c>
      <c r="AL234" s="20">
        <v>1166.67</v>
      </c>
      <c r="AM234" s="20"/>
      <c r="AN234" s="20" t="s">
        <v>549</v>
      </c>
      <c r="AO234" s="20"/>
      <c r="AP234" s="7"/>
      <c r="AQ234" s="7"/>
      <c r="AR234" s="7"/>
      <c r="AS234" s="7"/>
      <c r="AT234" s="7"/>
      <c r="AU234" s="7"/>
      <c r="AV234" s="7"/>
      <c r="AW234" s="39">
        <v>45027</v>
      </c>
      <c r="AX234" s="34">
        <v>1395</v>
      </c>
      <c r="AY234" s="34"/>
      <c r="AZ234" s="34"/>
      <c r="BA234" s="38">
        <v>1166.68</v>
      </c>
      <c r="BB234" s="20"/>
      <c r="BD234" s="7"/>
      <c r="CS234" s="9">
        <f t="shared" si="20"/>
        <v>1166.67</v>
      </c>
      <c r="CT234" s="20">
        <f t="shared" si="21"/>
        <v>1166.68</v>
      </c>
      <c r="CU234" s="20">
        <f t="shared" si="22"/>
        <v>-9.9999999999909051E-3</v>
      </c>
      <c r="CV234" s="24">
        <f t="shared" si="23"/>
        <v>0</v>
      </c>
    </row>
    <row r="235" spans="1:100" x14ac:dyDescent="0.2">
      <c r="A235" s="7" t="s">
        <v>78</v>
      </c>
      <c r="B235" s="1">
        <v>65</v>
      </c>
      <c r="C235" s="2" t="s">
        <v>36</v>
      </c>
      <c r="D235" s="2" t="s">
        <v>37</v>
      </c>
      <c r="E235" s="1" t="s">
        <v>18</v>
      </c>
      <c r="F235" s="1">
        <v>9</v>
      </c>
      <c r="G235" s="1" t="s">
        <v>22</v>
      </c>
      <c r="H235" s="1">
        <v>8</v>
      </c>
      <c r="I235" s="18">
        <v>124.74</v>
      </c>
      <c r="J235" s="18">
        <v>35900</v>
      </c>
      <c r="K235" s="2">
        <v>0</v>
      </c>
      <c r="L235" s="2" t="s">
        <v>3</v>
      </c>
      <c r="M235" s="8" t="s">
        <v>0</v>
      </c>
      <c r="N235" s="8" t="s">
        <v>8</v>
      </c>
      <c r="O235" s="7" t="s">
        <v>79</v>
      </c>
      <c r="P235" s="7" t="s">
        <v>0</v>
      </c>
      <c r="Q235" s="28" t="s">
        <v>80</v>
      </c>
      <c r="R235" s="7" t="s">
        <v>81</v>
      </c>
      <c r="S235" s="7" t="s">
        <v>96</v>
      </c>
      <c r="V235" s="8">
        <v>124.74</v>
      </c>
      <c r="W235" s="8" t="s">
        <v>196</v>
      </c>
      <c r="X235" s="15">
        <v>44696</v>
      </c>
      <c r="Y235" s="15">
        <v>44698</v>
      </c>
      <c r="Z235" s="109" t="s">
        <v>201</v>
      </c>
      <c r="AA235" s="118">
        <v>33000</v>
      </c>
      <c r="AB235" s="7">
        <v>12</v>
      </c>
      <c r="AC235" s="7">
        <v>11</v>
      </c>
      <c r="AD235" s="15">
        <v>45051</v>
      </c>
      <c r="AE235" s="50">
        <v>1166.67</v>
      </c>
      <c r="AF235" s="50"/>
      <c r="AG235" s="7" t="s">
        <v>72</v>
      </c>
      <c r="AH235" s="87">
        <v>45055</v>
      </c>
      <c r="AI235" s="82" t="s">
        <v>8</v>
      </c>
      <c r="AJ235" s="20" t="s">
        <v>562</v>
      </c>
      <c r="AK235" s="20" t="s">
        <v>94</v>
      </c>
      <c r="AL235" s="20">
        <v>1166.67</v>
      </c>
      <c r="AM235" s="20"/>
      <c r="AN235" s="20" t="s">
        <v>553</v>
      </c>
      <c r="AO235" s="20"/>
      <c r="AP235" s="7"/>
      <c r="AQ235" s="7"/>
      <c r="AR235" s="7"/>
      <c r="AS235" s="7"/>
      <c r="AT235" s="7"/>
      <c r="AU235" s="7"/>
      <c r="AV235" s="7"/>
      <c r="AW235" s="39">
        <v>45049</v>
      </c>
      <c r="AX235" s="34">
        <v>1475</v>
      </c>
      <c r="AY235" s="34"/>
      <c r="AZ235" s="34"/>
      <c r="BA235" s="38">
        <v>1166.68</v>
      </c>
      <c r="BB235" s="20"/>
      <c r="BD235" s="7"/>
      <c r="CS235" s="9">
        <f t="shared" si="20"/>
        <v>1166.67</v>
      </c>
      <c r="CT235" s="20">
        <f t="shared" si="21"/>
        <v>1166.68</v>
      </c>
      <c r="CU235" s="20">
        <f t="shared" si="22"/>
        <v>-9.9999999999909051E-3</v>
      </c>
      <c r="CV235" s="24">
        <f t="shared" si="23"/>
        <v>0</v>
      </c>
    </row>
    <row r="236" spans="1:100" x14ac:dyDescent="0.2">
      <c r="A236" s="7" t="s">
        <v>78</v>
      </c>
      <c r="B236" s="1">
        <v>65</v>
      </c>
      <c r="C236" s="2" t="s">
        <v>36</v>
      </c>
      <c r="D236" s="2" t="s">
        <v>37</v>
      </c>
      <c r="E236" s="1" t="s">
        <v>18</v>
      </c>
      <c r="F236" s="1">
        <v>9</v>
      </c>
      <c r="G236" s="1" t="s">
        <v>22</v>
      </c>
      <c r="H236" s="1">
        <v>8</v>
      </c>
      <c r="I236" s="18">
        <v>124.74</v>
      </c>
      <c r="J236" s="18">
        <v>35900</v>
      </c>
      <c r="K236" s="2">
        <v>0</v>
      </c>
      <c r="L236" s="2" t="s">
        <v>3</v>
      </c>
      <c r="M236" s="8" t="s">
        <v>0</v>
      </c>
      <c r="N236" s="8" t="s">
        <v>8</v>
      </c>
      <c r="O236" s="7" t="s">
        <v>79</v>
      </c>
      <c r="P236" s="7" t="s">
        <v>0</v>
      </c>
      <c r="Q236" s="28" t="s">
        <v>80</v>
      </c>
      <c r="R236" s="7" t="s">
        <v>81</v>
      </c>
      <c r="S236" s="7" t="s">
        <v>96</v>
      </c>
      <c r="V236" s="8">
        <v>124.74</v>
      </c>
      <c r="W236" s="8" t="s">
        <v>196</v>
      </c>
      <c r="X236" s="15">
        <v>44696</v>
      </c>
      <c r="Y236" s="15">
        <v>44698</v>
      </c>
      <c r="Z236" s="109" t="s">
        <v>201</v>
      </c>
      <c r="AA236" s="118">
        <v>33000</v>
      </c>
      <c r="AB236" s="7">
        <v>12</v>
      </c>
      <c r="AC236" s="7">
        <v>12</v>
      </c>
      <c r="AD236" s="15">
        <v>45082</v>
      </c>
      <c r="AE236" s="50">
        <v>1166.67</v>
      </c>
      <c r="AF236" s="50"/>
      <c r="AG236" s="7" t="s">
        <v>72</v>
      </c>
      <c r="AH236" s="87">
        <v>45085</v>
      </c>
      <c r="AI236" s="82" t="s">
        <v>8</v>
      </c>
      <c r="AJ236" s="20" t="s">
        <v>562</v>
      </c>
      <c r="AK236" s="20" t="s">
        <v>95</v>
      </c>
      <c r="AL236" s="20">
        <v>1166.67</v>
      </c>
      <c r="AM236" s="20"/>
      <c r="AN236" s="20" t="s">
        <v>558</v>
      </c>
      <c r="AO236" s="20"/>
      <c r="AP236" s="7"/>
      <c r="AQ236" s="7"/>
      <c r="AR236" s="7"/>
      <c r="AS236" s="7"/>
      <c r="AT236" s="7"/>
      <c r="AU236" s="7"/>
      <c r="AV236" s="7"/>
      <c r="AW236" s="39">
        <v>45083</v>
      </c>
      <c r="AX236" s="34">
        <v>1592</v>
      </c>
      <c r="AY236" s="34"/>
      <c r="AZ236" s="34"/>
      <c r="BA236" s="38">
        <v>1166.67</v>
      </c>
      <c r="BB236" s="20"/>
      <c r="BD236" s="7"/>
      <c r="CS236" s="9">
        <f t="shared" si="20"/>
        <v>1166.67</v>
      </c>
      <c r="CT236" s="20">
        <f t="shared" si="21"/>
        <v>1166.67</v>
      </c>
      <c r="CU236" s="20">
        <f t="shared" si="22"/>
        <v>0</v>
      </c>
      <c r="CV236" s="24">
        <f t="shared" si="23"/>
        <v>0</v>
      </c>
    </row>
    <row r="237" spans="1:100" x14ac:dyDescent="0.2">
      <c r="A237" s="7" t="s">
        <v>78</v>
      </c>
      <c r="B237" s="1">
        <v>65</v>
      </c>
      <c r="C237" s="2" t="s">
        <v>36</v>
      </c>
      <c r="D237" s="2" t="s">
        <v>37</v>
      </c>
      <c r="E237" s="1" t="s">
        <v>18</v>
      </c>
      <c r="F237" s="1">
        <v>9</v>
      </c>
      <c r="G237" s="1" t="s">
        <v>22</v>
      </c>
      <c r="H237" s="1">
        <v>8</v>
      </c>
      <c r="I237" s="18">
        <v>124.74</v>
      </c>
      <c r="J237" s="18">
        <v>35900</v>
      </c>
      <c r="K237" s="2">
        <v>0</v>
      </c>
      <c r="L237" s="2" t="s">
        <v>3</v>
      </c>
      <c r="M237" s="8" t="s">
        <v>0</v>
      </c>
      <c r="N237" s="8" t="s">
        <v>8</v>
      </c>
      <c r="O237" s="7" t="s">
        <v>79</v>
      </c>
      <c r="P237" s="7" t="s">
        <v>0</v>
      </c>
      <c r="Q237" s="28" t="s">
        <v>80</v>
      </c>
      <c r="R237" s="7" t="s">
        <v>81</v>
      </c>
      <c r="S237" s="7" t="s">
        <v>108</v>
      </c>
      <c r="V237" s="8">
        <v>12.5</v>
      </c>
      <c r="W237" s="8" t="s">
        <v>196</v>
      </c>
      <c r="X237" s="15">
        <v>44696</v>
      </c>
      <c r="Y237" s="15">
        <v>44698</v>
      </c>
      <c r="Z237" s="109" t="s">
        <v>201</v>
      </c>
      <c r="AA237" s="118">
        <v>6000</v>
      </c>
      <c r="AB237" s="7">
        <v>12</v>
      </c>
      <c r="AC237" s="7">
        <v>0</v>
      </c>
      <c r="AD237" s="15">
        <v>44701</v>
      </c>
      <c r="AE237" s="50">
        <v>1000</v>
      </c>
      <c r="AF237" s="50"/>
      <c r="AG237" s="7" t="s">
        <v>72</v>
      </c>
      <c r="AH237" s="87">
        <v>44701</v>
      </c>
      <c r="AI237" s="82" t="s">
        <v>8</v>
      </c>
      <c r="AJ237" s="20" t="s">
        <v>562</v>
      </c>
      <c r="AK237" s="20" t="s">
        <v>97</v>
      </c>
      <c r="AL237" s="20">
        <v>1000</v>
      </c>
      <c r="AM237" s="20"/>
      <c r="AN237" s="20" t="s">
        <v>510</v>
      </c>
      <c r="AO237" s="20"/>
      <c r="AP237" s="7"/>
      <c r="AQ237" s="7"/>
      <c r="AR237" s="7"/>
      <c r="AS237" s="7"/>
      <c r="AT237" s="7"/>
      <c r="AU237" s="7"/>
      <c r="AV237" s="7"/>
      <c r="AW237" s="39">
        <v>44701</v>
      </c>
      <c r="AX237" s="34">
        <v>657</v>
      </c>
      <c r="AY237" s="34"/>
      <c r="AZ237" s="34"/>
      <c r="BA237" s="38">
        <v>1000</v>
      </c>
      <c r="BB237" s="20"/>
      <c r="BD237" s="7"/>
      <c r="CS237" s="9">
        <f t="shared" si="20"/>
        <v>1000</v>
      </c>
      <c r="CT237" s="20">
        <f t="shared" si="21"/>
        <v>1000</v>
      </c>
      <c r="CU237" s="20">
        <f t="shared" si="22"/>
        <v>0</v>
      </c>
      <c r="CV237" s="24">
        <f t="shared" si="23"/>
        <v>0</v>
      </c>
    </row>
    <row r="238" spans="1:100" x14ac:dyDescent="0.2">
      <c r="A238" s="7" t="s">
        <v>78</v>
      </c>
      <c r="B238" s="1">
        <v>65</v>
      </c>
      <c r="C238" s="2" t="s">
        <v>36</v>
      </c>
      <c r="D238" s="2" t="s">
        <v>37</v>
      </c>
      <c r="E238" s="1" t="s">
        <v>18</v>
      </c>
      <c r="F238" s="1">
        <v>9</v>
      </c>
      <c r="G238" s="1" t="s">
        <v>22</v>
      </c>
      <c r="H238" s="1">
        <v>8</v>
      </c>
      <c r="I238" s="18">
        <v>124.74</v>
      </c>
      <c r="J238" s="18">
        <v>35900</v>
      </c>
      <c r="K238" s="2">
        <v>0</v>
      </c>
      <c r="L238" s="2" t="s">
        <v>3</v>
      </c>
      <c r="M238" s="8" t="s">
        <v>0</v>
      </c>
      <c r="N238" s="8" t="s">
        <v>8</v>
      </c>
      <c r="O238" s="7" t="s">
        <v>79</v>
      </c>
      <c r="P238" s="7" t="s">
        <v>0</v>
      </c>
      <c r="Q238" s="28" t="s">
        <v>80</v>
      </c>
      <c r="R238" s="7" t="s">
        <v>81</v>
      </c>
      <c r="S238" s="7" t="s">
        <v>108</v>
      </c>
      <c r="V238" s="8">
        <v>12.5</v>
      </c>
      <c r="W238" s="8" t="s">
        <v>196</v>
      </c>
      <c r="X238" s="15">
        <v>44696</v>
      </c>
      <c r="Y238" s="15">
        <v>44698</v>
      </c>
      <c r="Z238" s="109" t="s">
        <v>201</v>
      </c>
      <c r="AA238" s="118">
        <v>6000</v>
      </c>
      <c r="AB238" s="7">
        <v>12</v>
      </c>
      <c r="AC238" s="7">
        <v>1</v>
      </c>
      <c r="AD238" s="15">
        <v>44747</v>
      </c>
      <c r="AE238" s="50">
        <v>416.67</v>
      </c>
      <c r="AF238" s="50"/>
      <c r="AG238" s="7" t="s">
        <v>72</v>
      </c>
      <c r="AH238" s="87">
        <v>44748</v>
      </c>
      <c r="AI238" s="82" t="s">
        <v>8</v>
      </c>
      <c r="AJ238" s="20" t="s">
        <v>562</v>
      </c>
      <c r="AK238" s="20" t="s">
        <v>98</v>
      </c>
      <c r="AL238" s="20">
        <v>416.67</v>
      </c>
      <c r="AM238" s="20"/>
      <c r="AN238" s="20" t="s">
        <v>513</v>
      </c>
      <c r="AO238" s="20"/>
      <c r="AP238" s="7"/>
      <c r="AQ238" s="7"/>
      <c r="AR238" s="7"/>
      <c r="AS238" s="7"/>
      <c r="AT238" s="7"/>
      <c r="AU238" s="7"/>
      <c r="AV238" s="7"/>
      <c r="AW238" s="39">
        <v>45842</v>
      </c>
      <c r="AX238" s="34">
        <v>763</v>
      </c>
      <c r="AY238" s="34"/>
      <c r="AZ238" s="34"/>
      <c r="BA238" s="38">
        <v>416.67</v>
      </c>
      <c r="BB238" s="20"/>
      <c r="BD238" s="7"/>
      <c r="CS238" s="9">
        <f t="shared" si="20"/>
        <v>416.67</v>
      </c>
      <c r="CT238" s="20">
        <f t="shared" si="21"/>
        <v>416.67</v>
      </c>
      <c r="CU238" s="20">
        <f t="shared" si="22"/>
        <v>0</v>
      </c>
      <c r="CV238" s="24">
        <f t="shared" si="23"/>
        <v>0</v>
      </c>
    </row>
    <row r="239" spans="1:100" x14ac:dyDescent="0.2">
      <c r="A239" s="7" t="s">
        <v>78</v>
      </c>
      <c r="B239" s="1">
        <v>65</v>
      </c>
      <c r="C239" s="2" t="s">
        <v>36</v>
      </c>
      <c r="D239" s="2" t="s">
        <v>37</v>
      </c>
      <c r="E239" s="1" t="s">
        <v>18</v>
      </c>
      <c r="F239" s="1">
        <v>9</v>
      </c>
      <c r="G239" s="1" t="s">
        <v>22</v>
      </c>
      <c r="H239" s="1">
        <v>8</v>
      </c>
      <c r="I239" s="18">
        <v>124.74</v>
      </c>
      <c r="J239" s="18">
        <v>35900</v>
      </c>
      <c r="K239" s="2">
        <v>0</v>
      </c>
      <c r="L239" s="2" t="s">
        <v>3</v>
      </c>
      <c r="M239" s="8" t="s">
        <v>0</v>
      </c>
      <c r="N239" s="8" t="s">
        <v>8</v>
      </c>
      <c r="O239" s="7" t="s">
        <v>79</v>
      </c>
      <c r="P239" s="7" t="s">
        <v>0</v>
      </c>
      <c r="Q239" s="28" t="s">
        <v>80</v>
      </c>
      <c r="R239" s="7" t="s">
        <v>81</v>
      </c>
      <c r="S239" s="7" t="s">
        <v>108</v>
      </c>
      <c r="V239" s="8">
        <v>12.5</v>
      </c>
      <c r="W239" s="8" t="s">
        <v>196</v>
      </c>
      <c r="X239" s="15">
        <v>44696</v>
      </c>
      <c r="Y239" s="15">
        <v>44698</v>
      </c>
      <c r="Z239" s="109" t="s">
        <v>201</v>
      </c>
      <c r="AA239" s="118">
        <v>6000</v>
      </c>
      <c r="AB239" s="7">
        <v>12</v>
      </c>
      <c r="AC239" s="7">
        <v>2</v>
      </c>
      <c r="AD239" s="15">
        <v>44778</v>
      </c>
      <c r="AE239" s="50">
        <v>416.67</v>
      </c>
      <c r="AF239" s="50"/>
      <c r="AG239" s="7" t="s">
        <v>72</v>
      </c>
      <c r="AH239" s="87">
        <v>44764</v>
      </c>
      <c r="AI239" s="82" t="s">
        <v>8</v>
      </c>
      <c r="AJ239" s="20" t="s">
        <v>562</v>
      </c>
      <c r="AK239" s="20" t="s">
        <v>99</v>
      </c>
      <c r="AL239" s="20">
        <v>416.66</v>
      </c>
      <c r="AM239" s="20"/>
      <c r="AN239" s="20" t="s">
        <v>517</v>
      </c>
      <c r="AO239" s="20"/>
      <c r="AP239" s="7"/>
      <c r="AQ239" s="7"/>
      <c r="AR239" s="7"/>
      <c r="AS239" s="7"/>
      <c r="AT239" s="7"/>
      <c r="AU239" s="7"/>
      <c r="AV239" s="7"/>
      <c r="AW239" s="39">
        <v>44760</v>
      </c>
      <c r="AX239" s="34">
        <v>798</v>
      </c>
      <c r="AY239" s="34"/>
      <c r="AZ239" s="34"/>
      <c r="BA239" s="38">
        <v>416.66</v>
      </c>
      <c r="BB239" s="20"/>
      <c r="BD239" s="7"/>
      <c r="CS239" s="9">
        <f t="shared" si="20"/>
        <v>416.66</v>
      </c>
      <c r="CT239" s="20">
        <f t="shared" si="21"/>
        <v>416.66</v>
      </c>
      <c r="CU239" s="20">
        <f t="shared" si="22"/>
        <v>0</v>
      </c>
      <c r="CV239" s="24">
        <f t="shared" si="23"/>
        <v>9.9999999999909051E-3</v>
      </c>
    </row>
    <row r="240" spans="1:100" x14ac:dyDescent="0.2">
      <c r="A240" s="7" t="s">
        <v>78</v>
      </c>
      <c r="B240" s="1">
        <v>65</v>
      </c>
      <c r="C240" s="2" t="s">
        <v>36</v>
      </c>
      <c r="D240" s="2" t="s">
        <v>37</v>
      </c>
      <c r="E240" s="1" t="s">
        <v>18</v>
      </c>
      <c r="F240" s="1">
        <v>9</v>
      </c>
      <c r="G240" s="1" t="s">
        <v>22</v>
      </c>
      <c r="H240" s="1">
        <v>8</v>
      </c>
      <c r="I240" s="18">
        <v>124.74</v>
      </c>
      <c r="J240" s="18">
        <v>35900</v>
      </c>
      <c r="K240" s="2">
        <v>0</v>
      </c>
      <c r="L240" s="2" t="s">
        <v>3</v>
      </c>
      <c r="M240" s="8" t="s">
        <v>0</v>
      </c>
      <c r="N240" s="8" t="s">
        <v>8</v>
      </c>
      <c r="O240" s="7" t="s">
        <v>79</v>
      </c>
      <c r="P240" s="7" t="s">
        <v>0</v>
      </c>
      <c r="Q240" s="28" t="s">
        <v>80</v>
      </c>
      <c r="R240" s="7" t="s">
        <v>81</v>
      </c>
      <c r="S240" s="7" t="s">
        <v>108</v>
      </c>
      <c r="V240" s="8">
        <v>12.5</v>
      </c>
      <c r="W240" s="8" t="s">
        <v>196</v>
      </c>
      <c r="X240" s="15">
        <v>44696</v>
      </c>
      <c r="Y240" s="15">
        <v>44698</v>
      </c>
      <c r="Z240" s="109" t="s">
        <v>201</v>
      </c>
      <c r="AA240" s="118">
        <v>6000</v>
      </c>
      <c r="AB240" s="7">
        <v>12</v>
      </c>
      <c r="AC240" s="7">
        <v>3</v>
      </c>
      <c r="AD240" s="15">
        <v>44809</v>
      </c>
      <c r="AE240" s="50">
        <v>416.67</v>
      </c>
      <c r="AF240" s="50"/>
      <c r="AG240" s="7" t="s">
        <v>72</v>
      </c>
      <c r="AH240" s="90">
        <v>44810</v>
      </c>
      <c r="AI240" s="82" t="s">
        <v>8</v>
      </c>
      <c r="AJ240" s="20" t="s">
        <v>562</v>
      </c>
      <c r="AK240" s="33" t="s">
        <v>100</v>
      </c>
      <c r="AL240" s="33">
        <v>416.69</v>
      </c>
      <c r="AM240" s="33"/>
      <c r="AN240" s="33" t="s">
        <v>520</v>
      </c>
      <c r="AO240" s="20"/>
      <c r="AP240" s="7"/>
      <c r="AQ240" s="7"/>
      <c r="AR240" s="7"/>
      <c r="AS240" s="7"/>
      <c r="AT240" s="7"/>
      <c r="AU240" s="7"/>
      <c r="AV240" s="7"/>
      <c r="AW240" s="39">
        <v>44809</v>
      </c>
      <c r="AX240" s="34">
        <v>920</v>
      </c>
      <c r="AY240" s="34"/>
      <c r="AZ240" s="34"/>
      <c r="BA240" s="100">
        <v>416.69</v>
      </c>
      <c r="BB240" s="20"/>
      <c r="BD240" s="7"/>
      <c r="CS240" s="9">
        <f t="shared" si="20"/>
        <v>416.69</v>
      </c>
      <c r="CT240" s="20">
        <f t="shared" si="21"/>
        <v>416.69</v>
      </c>
      <c r="CU240" s="20">
        <f t="shared" si="22"/>
        <v>0</v>
      </c>
      <c r="CV240" s="24">
        <f t="shared" si="23"/>
        <v>-1.999999999998181E-2</v>
      </c>
    </row>
    <row r="241" spans="1:100" x14ac:dyDescent="0.2">
      <c r="A241" s="7" t="s">
        <v>78</v>
      </c>
      <c r="B241" s="1">
        <v>65</v>
      </c>
      <c r="C241" s="2" t="s">
        <v>36</v>
      </c>
      <c r="D241" s="2" t="s">
        <v>37</v>
      </c>
      <c r="E241" s="1" t="s">
        <v>18</v>
      </c>
      <c r="F241" s="1">
        <v>9</v>
      </c>
      <c r="G241" s="1" t="s">
        <v>22</v>
      </c>
      <c r="H241" s="1">
        <v>8</v>
      </c>
      <c r="I241" s="18">
        <v>124.74</v>
      </c>
      <c r="J241" s="18">
        <v>35900</v>
      </c>
      <c r="K241" s="2">
        <v>0</v>
      </c>
      <c r="L241" s="2" t="s">
        <v>3</v>
      </c>
      <c r="M241" s="8" t="s">
        <v>0</v>
      </c>
      <c r="N241" s="8" t="s">
        <v>8</v>
      </c>
      <c r="O241" s="7" t="s">
        <v>79</v>
      </c>
      <c r="P241" s="7" t="s">
        <v>0</v>
      </c>
      <c r="Q241" s="28" t="s">
        <v>80</v>
      </c>
      <c r="R241" s="7" t="s">
        <v>81</v>
      </c>
      <c r="S241" s="7" t="s">
        <v>108</v>
      </c>
      <c r="V241" s="8">
        <v>12.5</v>
      </c>
      <c r="W241" s="8" t="s">
        <v>196</v>
      </c>
      <c r="X241" s="15">
        <v>44696</v>
      </c>
      <c r="Y241" s="15">
        <v>44698</v>
      </c>
      <c r="Z241" s="109" t="s">
        <v>201</v>
      </c>
      <c r="AA241" s="118">
        <v>6000</v>
      </c>
      <c r="AB241" s="7">
        <v>12</v>
      </c>
      <c r="AC241" s="7">
        <v>4</v>
      </c>
      <c r="AD241" s="15">
        <v>44839</v>
      </c>
      <c r="AE241" s="50">
        <v>416.67</v>
      </c>
      <c r="AF241" s="50"/>
      <c r="AG241" s="7" t="s">
        <v>72</v>
      </c>
      <c r="AH241" s="90">
        <v>44841</v>
      </c>
      <c r="AI241" s="82" t="s">
        <v>8</v>
      </c>
      <c r="AJ241" s="20" t="s">
        <v>562</v>
      </c>
      <c r="AK241" s="33" t="s">
        <v>101</v>
      </c>
      <c r="AL241" s="33">
        <v>416.69</v>
      </c>
      <c r="AM241" s="33"/>
      <c r="AN241" s="33" t="s">
        <v>525</v>
      </c>
      <c r="AO241" s="20"/>
      <c r="AP241" s="7"/>
      <c r="AQ241" s="7"/>
      <c r="AR241" s="7"/>
      <c r="AS241" s="7"/>
      <c r="AT241" s="7"/>
      <c r="AU241" s="7"/>
      <c r="AV241" s="7"/>
      <c r="AW241" s="39">
        <v>44840</v>
      </c>
      <c r="AX241" s="34">
        <v>995</v>
      </c>
      <c r="AY241" s="34"/>
      <c r="AZ241" s="34"/>
      <c r="BA241" s="38">
        <v>416.69</v>
      </c>
      <c r="BB241" s="20"/>
      <c r="BD241" s="7"/>
      <c r="CS241" s="9">
        <f t="shared" si="20"/>
        <v>416.69</v>
      </c>
      <c r="CT241" s="20">
        <f t="shared" si="21"/>
        <v>416.69</v>
      </c>
      <c r="CU241" s="20">
        <f t="shared" si="22"/>
        <v>0</v>
      </c>
      <c r="CV241" s="24">
        <f t="shared" si="23"/>
        <v>-1.999999999998181E-2</v>
      </c>
    </row>
    <row r="242" spans="1:100" x14ac:dyDescent="0.2">
      <c r="A242" s="7" t="s">
        <v>78</v>
      </c>
      <c r="B242" s="1">
        <v>65</v>
      </c>
      <c r="C242" s="2" t="s">
        <v>36</v>
      </c>
      <c r="D242" s="2" t="s">
        <v>37</v>
      </c>
      <c r="E242" s="1" t="s">
        <v>18</v>
      </c>
      <c r="F242" s="1">
        <v>9</v>
      </c>
      <c r="G242" s="1" t="s">
        <v>22</v>
      </c>
      <c r="H242" s="1">
        <v>8</v>
      </c>
      <c r="I242" s="18">
        <v>124.74</v>
      </c>
      <c r="J242" s="18">
        <v>35900</v>
      </c>
      <c r="K242" s="2">
        <v>0</v>
      </c>
      <c r="L242" s="2" t="s">
        <v>3</v>
      </c>
      <c r="M242" s="8" t="s">
        <v>0</v>
      </c>
      <c r="N242" s="8" t="s">
        <v>8</v>
      </c>
      <c r="O242" s="7" t="s">
        <v>79</v>
      </c>
      <c r="P242" s="7" t="s">
        <v>0</v>
      </c>
      <c r="Q242" s="28" t="s">
        <v>80</v>
      </c>
      <c r="R242" s="7" t="s">
        <v>81</v>
      </c>
      <c r="S242" s="7" t="s">
        <v>108</v>
      </c>
      <c r="V242" s="8">
        <v>12.5</v>
      </c>
      <c r="W242" s="8" t="s">
        <v>196</v>
      </c>
      <c r="X242" s="15">
        <v>44696</v>
      </c>
      <c r="Y242" s="15">
        <v>44698</v>
      </c>
      <c r="Z242" s="109" t="s">
        <v>201</v>
      </c>
      <c r="AA242" s="118">
        <v>6000</v>
      </c>
      <c r="AB242" s="7">
        <v>12</v>
      </c>
      <c r="AC242" s="7">
        <v>5</v>
      </c>
      <c r="AD242" s="15">
        <v>44870</v>
      </c>
      <c r="AE242" s="50">
        <v>416.67</v>
      </c>
      <c r="AF242" s="50"/>
      <c r="AG242" s="7" t="s">
        <v>72</v>
      </c>
      <c r="AH242" s="87">
        <v>44874</v>
      </c>
      <c r="AI242" s="82" t="s">
        <v>8</v>
      </c>
      <c r="AJ242" s="20" t="s">
        <v>562</v>
      </c>
      <c r="AK242" s="20" t="s">
        <v>102</v>
      </c>
      <c r="AL242" s="20">
        <v>416.67</v>
      </c>
      <c r="AM242" s="20"/>
      <c r="AN242" s="20" t="s">
        <v>527</v>
      </c>
      <c r="AO242" s="20"/>
      <c r="AP242" s="7"/>
      <c r="AQ242" s="7"/>
      <c r="AR242" s="7"/>
      <c r="AS242" s="7"/>
      <c r="AT242" s="7"/>
      <c r="AU242" s="7"/>
      <c r="AV242" s="7"/>
      <c r="AW242" s="39">
        <v>44869</v>
      </c>
      <c r="AX242" s="34">
        <v>1056</v>
      </c>
      <c r="AY242" s="34"/>
      <c r="AZ242" s="34"/>
      <c r="BA242" s="38">
        <v>416.67</v>
      </c>
      <c r="BB242" s="20"/>
      <c r="BD242" s="7"/>
      <c r="CS242" s="9">
        <f t="shared" si="20"/>
        <v>416.67</v>
      </c>
      <c r="CT242" s="20">
        <f t="shared" si="21"/>
        <v>416.67</v>
      </c>
      <c r="CU242" s="20">
        <f t="shared" si="22"/>
        <v>0</v>
      </c>
      <c r="CV242" s="24">
        <f t="shared" si="23"/>
        <v>0</v>
      </c>
    </row>
    <row r="243" spans="1:100" x14ac:dyDescent="0.2">
      <c r="A243" s="7" t="s">
        <v>78</v>
      </c>
      <c r="B243" s="1">
        <v>65</v>
      </c>
      <c r="C243" s="2" t="s">
        <v>36</v>
      </c>
      <c r="D243" s="2" t="s">
        <v>37</v>
      </c>
      <c r="E243" s="1" t="s">
        <v>18</v>
      </c>
      <c r="F243" s="1">
        <v>9</v>
      </c>
      <c r="G243" s="1" t="s">
        <v>22</v>
      </c>
      <c r="H243" s="1">
        <v>8</v>
      </c>
      <c r="I243" s="18">
        <v>124.74</v>
      </c>
      <c r="J243" s="18">
        <v>35900</v>
      </c>
      <c r="K243" s="2">
        <v>0</v>
      </c>
      <c r="L243" s="2" t="s">
        <v>3</v>
      </c>
      <c r="M243" s="8" t="s">
        <v>0</v>
      </c>
      <c r="N243" s="8" t="s">
        <v>8</v>
      </c>
      <c r="O243" s="7" t="s">
        <v>79</v>
      </c>
      <c r="P243" s="7" t="s">
        <v>0</v>
      </c>
      <c r="Q243" s="28" t="s">
        <v>80</v>
      </c>
      <c r="R243" s="7" t="s">
        <v>81</v>
      </c>
      <c r="S243" s="7" t="s">
        <v>108</v>
      </c>
      <c r="V243" s="8">
        <v>12.5</v>
      </c>
      <c r="W243" s="8" t="s">
        <v>196</v>
      </c>
      <c r="X243" s="15">
        <v>44696</v>
      </c>
      <c r="Y243" s="15">
        <v>44698</v>
      </c>
      <c r="Z243" s="109" t="s">
        <v>201</v>
      </c>
      <c r="AA243" s="118">
        <v>6000</v>
      </c>
      <c r="AB243" s="7">
        <v>12</v>
      </c>
      <c r="AC243" s="7">
        <v>6</v>
      </c>
      <c r="AD243" s="15">
        <v>44900</v>
      </c>
      <c r="AE243" s="50">
        <v>416.67</v>
      </c>
      <c r="AF243" s="50"/>
      <c r="AG243" s="7" t="s">
        <v>72</v>
      </c>
      <c r="AH243" s="87">
        <v>44909</v>
      </c>
      <c r="AI243" s="82" t="s">
        <v>8</v>
      </c>
      <c r="AJ243" s="20" t="s">
        <v>562</v>
      </c>
      <c r="AK243" s="20" t="s">
        <v>103</v>
      </c>
      <c r="AL243" s="20">
        <v>416.68</v>
      </c>
      <c r="AM243" s="20"/>
      <c r="AN243" s="20" t="s">
        <v>532</v>
      </c>
      <c r="AO243" s="20"/>
      <c r="AP243" s="7"/>
      <c r="AQ243" s="7"/>
      <c r="AR243" s="7"/>
      <c r="AS243" s="7"/>
      <c r="AT243" s="7"/>
      <c r="AU243" s="7"/>
      <c r="AV243" s="7"/>
      <c r="AW243" s="39">
        <v>44901</v>
      </c>
      <c r="AX243" s="34">
        <v>1094</v>
      </c>
      <c r="AY243" s="34"/>
      <c r="AZ243" s="34"/>
      <c r="BA243" s="38">
        <v>416.68</v>
      </c>
      <c r="BB243" s="20"/>
      <c r="BD243" s="7"/>
      <c r="CS243" s="9">
        <f t="shared" si="20"/>
        <v>416.68</v>
      </c>
      <c r="CT243" s="20">
        <f t="shared" si="21"/>
        <v>416.68</v>
      </c>
      <c r="CU243" s="20">
        <f t="shared" si="22"/>
        <v>0</v>
      </c>
      <c r="CV243" s="24">
        <f t="shared" si="23"/>
        <v>-9.9999999999909051E-3</v>
      </c>
    </row>
    <row r="244" spans="1:100" x14ac:dyDescent="0.2">
      <c r="A244" s="7" t="s">
        <v>78</v>
      </c>
      <c r="B244" s="1">
        <v>65</v>
      </c>
      <c r="C244" s="2" t="s">
        <v>36</v>
      </c>
      <c r="D244" s="2" t="s">
        <v>37</v>
      </c>
      <c r="E244" s="1" t="s">
        <v>18</v>
      </c>
      <c r="F244" s="1">
        <v>9</v>
      </c>
      <c r="G244" s="1" t="s">
        <v>22</v>
      </c>
      <c r="H244" s="1">
        <v>8</v>
      </c>
      <c r="I244" s="18">
        <v>124.74</v>
      </c>
      <c r="J244" s="18">
        <v>35900</v>
      </c>
      <c r="K244" s="2">
        <v>0</v>
      </c>
      <c r="L244" s="2" t="s">
        <v>3</v>
      </c>
      <c r="M244" s="8" t="s">
        <v>0</v>
      </c>
      <c r="N244" s="8" t="s">
        <v>8</v>
      </c>
      <c r="O244" s="7" t="s">
        <v>79</v>
      </c>
      <c r="P244" s="7" t="s">
        <v>0</v>
      </c>
      <c r="Q244" s="28" t="s">
        <v>80</v>
      </c>
      <c r="R244" s="7" t="s">
        <v>81</v>
      </c>
      <c r="S244" s="7" t="s">
        <v>108</v>
      </c>
      <c r="V244" s="8">
        <v>12.5</v>
      </c>
      <c r="W244" s="8" t="s">
        <v>196</v>
      </c>
      <c r="X244" s="15">
        <v>44696</v>
      </c>
      <c r="Y244" s="15">
        <v>44698</v>
      </c>
      <c r="Z244" s="109" t="s">
        <v>201</v>
      </c>
      <c r="AA244" s="118">
        <v>6000</v>
      </c>
      <c r="AB244" s="7">
        <v>12</v>
      </c>
      <c r="AC244" s="7">
        <v>7</v>
      </c>
      <c r="AD244" s="15">
        <v>44931</v>
      </c>
      <c r="AE244" s="50">
        <v>416.67</v>
      </c>
      <c r="AF244" s="50"/>
      <c r="AG244" s="7" t="s">
        <v>72</v>
      </c>
      <c r="AH244" s="87">
        <v>44938</v>
      </c>
      <c r="AI244" s="82" t="s">
        <v>8</v>
      </c>
      <c r="AJ244" s="20" t="s">
        <v>562</v>
      </c>
      <c r="AK244" s="20" t="s">
        <v>104</v>
      </c>
      <c r="AL244" s="20">
        <v>416.68</v>
      </c>
      <c r="AM244" s="20"/>
      <c r="AN244" s="20" t="s">
        <v>537</v>
      </c>
      <c r="AO244" s="20"/>
      <c r="AP244" s="7"/>
      <c r="AQ244" s="7"/>
      <c r="AR244" s="7"/>
      <c r="AS244" s="7"/>
      <c r="AT244" s="7"/>
      <c r="AU244" s="7"/>
      <c r="AV244" s="7"/>
      <c r="AW244" s="39">
        <v>44937</v>
      </c>
      <c r="AX244" s="34">
        <v>1143</v>
      </c>
      <c r="AY244" s="34"/>
      <c r="AZ244" s="34"/>
      <c r="BA244" s="38">
        <v>416.68</v>
      </c>
      <c r="BB244" s="20"/>
      <c r="BD244" s="7"/>
      <c r="CS244" s="9">
        <f t="shared" si="20"/>
        <v>416.68</v>
      </c>
      <c r="CT244" s="20">
        <f t="shared" si="21"/>
        <v>416.68</v>
      </c>
      <c r="CU244" s="20">
        <f t="shared" si="22"/>
        <v>0</v>
      </c>
      <c r="CV244" s="24">
        <f t="shared" si="23"/>
        <v>-9.9999999999909051E-3</v>
      </c>
    </row>
    <row r="245" spans="1:100" x14ac:dyDescent="0.2">
      <c r="A245" s="7" t="s">
        <v>78</v>
      </c>
      <c r="B245" s="1">
        <v>65</v>
      </c>
      <c r="C245" s="2" t="s">
        <v>36</v>
      </c>
      <c r="D245" s="2" t="s">
        <v>37</v>
      </c>
      <c r="E245" s="1" t="s">
        <v>18</v>
      </c>
      <c r="F245" s="1">
        <v>9</v>
      </c>
      <c r="G245" s="1" t="s">
        <v>22</v>
      </c>
      <c r="H245" s="1">
        <v>8</v>
      </c>
      <c r="I245" s="18">
        <v>124.74</v>
      </c>
      <c r="J245" s="18">
        <v>35900</v>
      </c>
      <c r="K245" s="2">
        <v>0</v>
      </c>
      <c r="L245" s="2" t="s">
        <v>3</v>
      </c>
      <c r="M245" s="8" t="s">
        <v>0</v>
      </c>
      <c r="N245" s="8" t="s">
        <v>8</v>
      </c>
      <c r="O245" s="7" t="s">
        <v>79</v>
      </c>
      <c r="P245" s="7" t="s">
        <v>0</v>
      </c>
      <c r="Q245" s="28" t="s">
        <v>80</v>
      </c>
      <c r="R245" s="7" t="s">
        <v>81</v>
      </c>
      <c r="S245" s="7" t="s">
        <v>108</v>
      </c>
      <c r="V245" s="8">
        <v>12.5</v>
      </c>
      <c r="W245" s="8" t="s">
        <v>196</v>
      </c>
      <c r="X245" s="15">
        <v>44696</v>
      </c>
      <c r="Y245" s="15">
        <v>44698</v>
      </c>
      <c r="Z245" s="109" t="s">
        <v>201</v>
      </c>
      <c r="AA245" s="118">
        <v>6000</v>
      </c>
      <c r="AB245" s="7">
        <v>12</v>
      </c>
      <c r="AC245" s="7">
        <v>8</v>
      </c>
      <c r="AD245" s="15">
        <v>44962</v>
      </c>
      <c r="AE245" s="50">
        <v>416.67</v>
      </c>
      <c r="AF245" s="50"/>
      <c r="AG245" s="7" t="s">
        <v>72</v>
      </c>
      <c r="AH245" s="87">
        <v>44961</v>
      </c>
      <c r="AI245" s="82" t="s">
        <v>8</v>
      </c>
      <c r="AJ245" s="20" t="s">
        <v>562</v>
      </c>
      <c r="AK245" s="20" t="s">
        <v>105</v>
      </c>
      <c r="AL245" s="20">
        <v>416.68</v>
      </c>
      <c r="AM245" s="20"/>
      <c r="AN245" s="20" t="s">
        <v>542</v>
      </c>
      <c r="AO245" s="20"/>
      <c r="AP245" s="7"/>
      <c r="AQ245" s="7"/>
      <c r="AR245" s="7"/>
      <c r="AS245" s="7"/>
      <c r="AT245" s="7"/>
      <c r="AU245" s="7"/>
      <c r="AV245" s="7"/>
      <c r="AW245" s="39">
        <v>44959</v>
      </c>
      <c r="AX245" s="34">
        <v>1202</v>
      </c>
      <c r="AY245" s="34"/>
      <c r="AZ245" s="34"/>
      <c r="BA245" s="38">
        <v>416.68</v>
      </c>
      <c r="BB245" s="20"/>
      <c r="BD245" s="7"/>
      <c r="CS245" s="9">
        <f t="shared" si="20"/>
        <v>416.68</v>
      </c>
      <c r="CT245" s="20">
        <f t="shared" si="21"/>
        <v>416.68</v>
      </c>
      <c r="CU245" s="20">
        <f t="shared" si="22"/>
        <v>0</v>
      </c>
      <c r="CV245" s="24">
        <f t="shared" si="23"/>
        <v>-9.9999999999909051E-3</v>
      </c>
    </row>
    <row r="246" spans="1:100" x14ac:dyDescent="0.2">
      <c r="A246" s="7" t="s">
        <v>78</v>
      </c>
      <c r="B246" s="1">
        <v>65</v>
      </c>
      <c r="C246" s="2" t="s">
        <v>36</v>
      </c>
      <c r="D246" s="2" t="s">
        <v>37</v>
      </c>
      <c r="E246" s="1" t="s">
        <v>18</v>
      </c>
      <c r="F246" s="1">
        <v>9</v>
      </c>
      <c r="G246" s="1" t="s">
        <v>22</v>
      </c>
      <c r="H246" s="1">
        <v>8</v>
      </c>
      <c r="I246" s="18">
        <v>124.74</v>
      </c>
      <c r="J246" s="18">
        <v>35900</v>
      </c>
      <c r="K246" s="2">
        <v>0</v>
      </c>
      <c r="L246" s="2" t="s">
        <v>3</v>
      </c>
      <c r="M246" s="8" t="s">
        <v>0</v>
      </c>
      <c r="N246" s="8" t="s">
        <v>8</v>
      </c>
      <c r="O246" s="7" t="s">
        <v>79</v>
      </c>
      <c r="P246" s="7" t="s">
        <v>0</v>
      </c>
      <c r="Q246" s="28" t="s">
        <v>80</v>
      </c>
      <c r="R246" s="7" t="s">
        <v>81</v>
      </c>
      <c r="S246" s="7" t="s">
        <v>108</v>
      </c>
      <c r="V246" s="8">
        <v>12.5</v>
      </c>
      <c r="W246" s="8" t="s">
        <v>196</v>
      </c>
      <c r="X246" s="15">
        <v>44696</v>
      </c>
      <c r="Y246" s="15">
        <v>44698</v>
      </c>
      <c r="Z246" s="109" t="s">
        <v>201</v>
      </c>
      <c r="AA246" s="118">
        <v>6000</v>
      </c>
      <c r="AB246" s="7">
        <v>12</v>
      </c>
      <c r="AC246" s="7">
        <v>9</v>
      </c>
      <c r="AD246" s="15">
        <v>44990</v>
      </c>
      <c r="AE246" s="50">
        <v>416.67</v>
      </c>
      <c r="AF246" s="50"/>
      <c r="AG246" s="7" t="s">
        <v>72</v>
      </c>
      <c r="AH246" s="87">
        <v>44998</v>
      </c>
      <c r="AI246" s="82" t="s">
        <v>8</v>
      </c>
      <c r="AJ246" s="20" t="s">
        <v>562</v>
      </c>
      <c r="AK246" s="20" t="s">
        <v>106</v>
      </c>
      <c r="AL246" s="20">
        <v>416.68</v>
      </c>
      <c r="AM246" s="20"/>
      <c r="AN246" s="20" t="s">
        <v>546</v>
      </c>
      <c r="AO246" s="20"/>
      <c r="AP246" s="7"/>
      <c r="AQ246" s="7"/>
      <c r="AR246" s="7"/>
      <c r="AS246" s="7"/>
      <c r="AT246" s="7"/>
      <c r="AU246" s="7"/>
      <c r="AV246" s="7"/>
      <c r="AW246" s="39">
        <v>44995</v>
      </c>
      <c r="AX246" s="34">
        <v>1311</v>
      </c>
      <c r="AY246" s="34"/>
      <c r="AZ246" s="34"/>
      <c r="BA246" s="38">
        <v>416.68</v>
      </c>
      <c r="BB246" s="20"/>
      <c r="BD246" s="7"/>
      <c r="CS246" s="9">
        <f t="shared" si="20"/>
        <v>416.68</v>
      </c>
      <c r="CT246" s="20">
        <f t="shared" si="21"/>
        <v>416.68</v>
      </c>
      <c r="CU246" s="20">
        <f t="shared" si="22"/>
        <v>0</v>
      </c>
      <c r="CV246" s="24">
        <f t="shared" si="23"/>
        <v>-9.9999999999909051E-3</v>
      </c>
    </row>
    <row r="247" spans="1:100" x14ac:dyDescent="0.2">
      <c r="A247" s="7" t="s">
        <v>78</v>
      </c>
      <c r="B247" s="1">
        <v>65</v>
      </c>
      <c r="C247" s="2" t="s">
        <v>36</v>
      </c>
      <c r="D247" s="2" t="s">
        <v>37</v>
      </c>
      <c r="E247" s="1" t="s">
        <v>18</v>
      </c>
      <c r="F247" s="1">
        <v>9</v>
      </c>
      <c r="G247" s="1" t="s">
        <v>22</v>
      </c>
      <c r="H247" s="1">
        <v>8</v>
      </c>
      <c r="I247" s="18">
        <v>124.74</v>
      </c>
      <c r="J247" s="18">
        <v>35900</v>
      </c>
      <c r="K247" s="2">
        <v>0</v>
      </c>
      <c r="L247" s="2" t="s">
        <v>3</v>
      </c>
      <c r="M247" s="8" t="s">
        <v>0</v>
      </c>
      <c r="N247" s="8" t="s">
        <v>8</v>
      </c>
      <c r="O247" s="7" t="s">
        <v>79</v>
      </c>
      <c r="P247" s="7" t="s">
        <v>0</v>
      </c>
      <c r="Q247" s="28" t="s">
        <v>80</v>
      </c>
      <c r="R247" s="7" t="s">
        <v>81</v>
      </c>
      <c r="S247" s="7" t="s">
        <v>108</v>
      </c>
      <c r="V247" s="8">
        <v>12.5</v>
      </c>
      <c r="W247" s="8" t="s">
        <v>196</v>
      </c>
      <c r="X247" s="15">
        <v>44696</v>
      </c>
      <c r="Y247" s="15">
        <v>44698</v>
      </c>
      <c r="Z247" s="109" t="s">
        <v>201</v>
      </c>
      <c r="AA247" s="118">
        <v>6000</v>
      </c>
      <c r="AB247" s="7">
        <v>12</v>
      </c>
      <c r="AC247" s="7">
        <v>10</v>
      </c>
      <c r="AD247" s="15">
        <v>45021</v>
      </c>
      <c r="AE247" s="50">
        <v>416.67</v>
      </c>
      <c r="AF247" s="50"/>
      <c r="AG247" s="7" t="s">
        <v>72</v>
      </c>
      <c r="AH247" s="87">
        <v>45029</v>
      </c>
      <c r="AI247" s="82" t="s">
        <v>8</v>
      </c>
      <c r="AJ247" s="20" t="s">
        <v>562</v>
      </c>
      <c r="AK247" s="20" t="s">
        <v>563</v>
      </c>
      <c r="AL247" s="20">
        <v>416.68</v>
      </c>
      <c r="AM247" s="20"/>
      <c r="AN247" s="20" t="s">
        <v>551</v>
      </c>
      <c r="AO247" s="20"/>
      <c r="AP247" s="7"/>
      <c r="AQ247" s="7"/>
      <c r="AR247" s="7"/>
      <c r="AS247" s="7"/>
      <c r="AT247" s="7"/>
      <c r="AU247" s="7"/>
      <c r="AV247" s="7"/>
      <c r="AW247" s="39">
        <v>45027</v>
      </c>
      <c r="AX247" s="34">
        <v>1395</v>
      </c>
      <c r="AY247" s="34"/>
      <c r="AZ247" s="34"/>
      <c r="BA247" s="38">
        <v>416.68</v>
      </c>
      <c r="BB247" s="20"/>
      <c r="BD247" s="7"/>
      <c r="CS247" s="9">
        <f t="shared" si="20"/>
        <v>416.68</v>
      </c>
      <c r="CT247" s="20">
        <f t="shared" si="21"/>
        <v>416.68</v>
      </c>
      <c r="CU247" s="20">
        <f t="shared" si="22"/>
        <v>0</v>
      </c>
      <c r="CV247" s="24">
        <f t="shared" si="23"/>
        <v>-9.9999999999909051E-3</v>
      </c>
    </row>
    <row r="248" spans="1:100" x14ac:dyDescent="0.2">
      <c r="A248" s="7" t="s">
        <v>78</v>
      </c>
      <c r="B248" s="1">
        <v>65</v>
      </c>
      <c r="C248" s="2" t="s">
        <v>36</v>
      </c>
      <c r="D248" s="2" t="s">
        <v>37</v>
      </c>
      <c r="E248" s="1" t="s">
        <v>18</v>
      </c>
      <c r="F248" s="1">
        <v>9</v>
      </c>
      <c r="G248" s="1" t="s">
        <v>22</v>
      </c>
      <c r="H248" s="1">
        <v>8</v>
      </c>
      <c r="I248" s="18">
        <v>124.74</v>
      </c>
      <c r="J248" s="18">
        <v>35900</v>
      </c>
      <c r="K248" s="2">
        <v>0</v>
      </c>
      <c r="L248" s="2" t="s">
        <v>3</v>
      </c>
      <c r="M248" s="8" t="s">
        <v>0</v>
      </c>
      <c r="N248" s="8" t="s">
        <v>8</v>
      </c>
      <c r="O248" s="7" t="s">
        <v>79</v>
      </c>
      <c r="P248" s="7" t="s">
        <v>0</v>
      </c>
      <c r="Q248" s="28" t="s">
        <v>80</v>
      </c>
      <c r="R248" s="7" t="s">
        <v>81</v>
      </c>
      <c r="S248" s="7" t="s">
        <v>108</v>
      </c>
      <c r="V248" s="8">
        <v>12.5</v>
      </c>
      <c r="W248" s="8" t="s">
        <v>196</v>
      </c>
      <c r="X248" s="15">
        <v>44696</v>
      </c>
      <c r="Y248" s="15">
        <v>44698</v>
      </c>
      <c r="Z248" s="109" t="s">
        <v>201</v>
      </c>
      <c r="AA248" s="118">
        <v>6000</v>
      </c>
      <c r="AB248" s="7">
        <v>12</v>
      </c>
      <c r="AC248" s="7">
        <v>11</v>
      </c>
      <c r="AD248" s="15">
        <v>45051</v>
      </c>
      <c r="AE248" s="50">
        <v>416.67</v>
      </c>
      <c r="AF248" s="50"/>
      <c r="AG248" s="7" t="s">
        <v>72</v>
      </c>
      <c r="AH248" s="87">
        <v>45055</v>
      </c>
      <c r="AI248" s="82" t="s">
        <v>8</v>
      </c>
      <c r="AJ248" s="20" t="s">
        <v>562</v>
      </c>
      <c r="AK248" s="20" t="s">
        <v>564</v>
      </c>
      <c r="AL248" s="20">
        <v>416.68</v>
      </c>
      <c r="AM248" s="20"/>
      <c r="AN248" s="20" t="s">
        <v>554</v>
      </c>
      <c r="AO248" s="20"/>
      <c r="AP248" s="7"/>
      <c r="AQ248" s="7"/>
      <c r="AR248" s="7"/>
      <c r="AS248" s="7"/>
      <c r="AT248" s="7"/>
      <c r="AU248" s="7"/>
      <c r="AV248" s="7"/>
      <c r="AW248" s="39">
        <v>45050</v>
      </c>
      <c r="AX248" s="34">
        <v>1482</v>
      </c>
      <c r="AY248" s="34"/>
      <c r="AZ248" s="34"/>
      <c r="BA248" s="38">
        <v>416.68</v>
      </c>
      <c r="BB248" s="20"/>
      <c r="BD248" s="7"/>
      <c r="CS248" s="9">
        <f t="shared" si="20"/>
        <v>416.68</v>
      </c>
      <c r="CT248" s="20">
        <f t="shared" si="21"/>
        <v>416.68</v>
      </c>
      <c r="CU248" s="20">
        <f t="shared" si="22"/>
        <v>0</v>
      </c>
      <c r="CV248" s="24">
        <f t="shared" si="23"/>
        <v>-9.9999999999909051E-3</v>
      </c>
    </row>
    <row r="249" spans="1:100" x14ac:dyDescent="0.2">
      <c r="A249" s="7" t="s">
        <v>78</v>
      </c>
      <c r="B249" s="1">
        <v>65</v>
      </c>
      <c r="C249" s="2" t="s">
        <v>36</v>
      </c>
      <c r="D249" s="2" t="s">
        <v>37</v>
      </c>
      <c r="E249" s="1" t="s">
        <v>18</v>
      </c>
      <c r="F249" s="1">
        <v>9</v>
      </c>
      <c r="G249" s="1" t="s">
        <v>22</v>
      </c>
      <c r="H249" s="1">
        <v>8</v>
      </c>
      <c r="I249" s="18">
        <v>124.74</v>
      </c>
      <c r="J249" s="18">
        <v>35900</v>
      </c>
      <c r="K249" s="2">
        <v>0</v>
      </c>
      <c r="L249" s="2" t="s">
        <v>3</v>
      </c>
      <c r="M249" s="8" t="s">
        <v>0</v>
      </c>
      <c r="N249" s="8" t="s">
        <v>8</v>
      </c>
      <c r="O249" s="7" t="s">
        <v>79</v>
      </c>
      <c r="P249" s="7" t="s">
        <v>0</v>
      </c>
      <c r="Q249" s="28" t="s">
        <v>80</v>
      </c>
      <c r="R249" s="7" t="s">
        <v>81</v>
      </c>
      <c r="S249" s="7" t="s">
        <v>108</v>
      </c>
      <c r="V249" s="8">
        <v>12.5</v>
      </c>
      <c r="W249" s="8" t="s">
        <v>196</v>
      </c>
      <c r="X249" s="15">
        <v>44696</v>
      </c>
      <c r="Y249" s="15">
        <v>44698</v>
      </c>
      <c r="Z249" s="109" t="s">
        <v>201</v>
      </c>
      <c r="AA249" s="118">
        <v>6000</v>
      </c>
      <c r="AB249" s="7">
        <v>12</v>
      </c>
      <c r="AC249" s="7">
        <v>12</v>
      </c>
      <c r="AD249" s="15">
        <v>45082</v>
      </c>
      <c r="AE249" s="50">
        <v>416.67</v>
      </c>
      <c r="AF249" s="50"/>
      <c r="AG249" s="7" t="s">
        <v>72</v>
      </c>
      <c r="AH249" s="87">
        <v>45085</v>
      </c>
      <c r="AI249" s="82" t="s">
        <v>8</v>
      </c>
      <c r="AJ249" s="20" t="s">
        <v>562</v>
      </c>
      <c r="AK249" s="20" t="s">
        <v>107</v>
      </c>
      <c r="AL249" s="20">
        <v>416.68</v>
      </c>
      <c r="AM249" s="20"/>
      <c r="AN249" s="20" t="s">
        <v>556</v>
      </c>
      <c r="AO249" s="20"/>
      <c r="AP249" s="7"/>
      <c r="AQ249" s="7"/>
      <c r="AR249" s="7"/>
      <c r="AS249" s="7"/>
      <c r="AT249" s="7"/>
      <c r="AU249" s="7"/>
      <c r="AV249" s="7"/>
      <c r="AW249" s="39">
        <v>45084</v>
      </c>
      <c r="AX249" s="34">
        <v>1606</v>
      </c>
      <c r="AY249" s="34"/>
      <c r="AZ249" s="34"/>
      <c r="BA249" s="38">
        <v>416.68</v>
      </c>
      <c r="BB249" s="20"/>
      <c r="BD249" s="7"/>
      <c r="CS249" s="9">
        <f t="shared" si="20"/>
        <v>416.68</v>
      </c>
      <c r="CT249" s="20">
        <f t="shared" si="21"/>
        <v>416.68</v>
      </c>
      <c r="CU249" s="20">
        <f t="shared" si="22"/>
        <v>0</v>
      </c>
      <c r="CV249" s="24">
        <f t="shared" si="23"/>
        <v>-9.9999999999909051E-3</v>
      </c>
    </row>
    <row r="250" spans="1:100" x14ac:dyDescent="0.2">
      <c r="A250" s="7" t="s">
        <v>110</v>
      </c>
      <c r="B250" s="1">
        <v>66</v>
      </c>
      <c r="C250" s="2" t="s">
        <v>36</v>
      </c>
      <c r="D250" s="2" t="s">
        <v>37</v>
      </c>
      <c r="E250" s="1" t="s">
        <v>18</v>
      </c>
      <c r="F250" s="1">
        <v>10</v>
      </c>
      <c r="G250" s="1" t="s">
        <v>22</v>
      </c>
      <c r="H250" s="1">
        <v>9</v>
      </c>
      <c r="I250" s="18">
        <v>125.04</v>
      </c>
      <c r="J250" s="18">
        <v>36900</v>
      </c>
      <c r="K250" s="2">
        <v>0</v>
      </c>
      <c r="L250" s="2" t="s">
        <v>3</v>
      </c>
      <c r="M250" s="8" t="s">
        <v>0</v>
      </c>
      <c r="N250" s="8" t="s">
        <v>8</v>
      </c>
      <c r="O250" s="7" t="s">
        <v>79</v>
      </c>
      <c r="P250" s="7" t="s">
        <v>0</v>
      </c>
      <c r="Q250" s="28" t="s">
        <v>80</v>
      </c>
      <c r="R250" s="7" t="s">
        <v>81</v>
      </c>
      <c r="S250" s="7" t="s">
        <v>96</v>
      </c>
      <c r="V250" s="8">
        <v>125.04</v>
      </c>
      <c r="W250" s="8" t="s">
        <v>196</v>
      </c>
      <c r="X250" s="15">
        <v>44696</v>
      </c>
      <c r="Y250" s="15">
        <v>44698</v>
      </c>
      <c r="Z250" s="17" t="s">
        <v>201</v>
      </c>
      <c r="AA250" s="120">
        <v>35000</v>
      </c>
      <c r="AB250" s="7">
        <v>12</v>
      </c>
      <c r="AC250" s="7">
        <v>0</v>
      </c>
      <c r="AD250" s="15">
        <v>44696</v>
      </c>
      <c r="AE250" s="70">
        <v>500</v>
      </c>
      <c r="AF250" s="70"/>
      <c r="AG250" s="7" t="s">
        <v>72</v>
      </c>
      <c r="AH250" s="114">
        <v>44696</v>
      </c>
      <c r="AI250" s="115" t="s">
        <v>8</v>
      </c>
      <c r="AJ250" s="71" t="s">
        <v>562</v>
      </c>
      <c r="AK250" s="71" t="s">
        <v>111</v>
      </c>
      <c r="AL250" s="71">
        <v>500</v>
      </c>
      <c r="AM250" s="71"/>
      <c r="AN250" s="71" t="s">
        <v>507</v>
      </c>
      <c r="AO250" s="71"/>
      <c r="AP250" s="7"/>
      <c r="AQ250" s="7"/>
      <c r="AR250" s="7"/>
      <c r="AS250" s="7"/>
      <c r="AT250" s="7"/>
      <c r="AU250" s="7"/>
      <c r="AV250" s="7"/>
      <c r="AW250" s="39">
        <v>44696</v>
      </c>
      <c r="AX250" s="34">
        <v>643</v>
      </c>
      <c r="AY250" s="34"/>
      <c r="AZ250" s="34"/>
      <c r="BA250" s="117">
        <v>500</v>
      </c>
      <c r="BB250" s="71"/>
      <c r="BD250" s="7"/>
      <c r="CS250" s="9">
        <f t="shared" si="20"/>
        <v>500</v>
      </c>
      <c r="CT250" s="20">
        <f t="shared" si="21"/>
        <v>500</v>
      </c>
      <c r="CU250" s="20">
        <f t="shared" si="22"/>
        <v>0</v>
      </c>
      <c r="CV250" s="24">
        <f t="shared" si="23"/>
        <v>0</v>
      </c>
    </row>
    <row r="251" spans="1:100" x14ac:dyDescent="0.2">
      <c r="A251" s="7" t="s">
        <v>110</v>
      </c>
      <c r="B251" s="1">
        <v>66</v>
      </c>
      <c r="C251" s="2" t="s">
        <v>36</v>
      </c>
      <c r="D251" s="2" t="s">
        <v>37</v>
      </c>
      <c r="E251" s="1" t="s">
        <v>18</v>
      </c>
      <c r="F251" s="1">
        <v>10</v>
      </c>
      <c r="G251" s="1" t="s">
        <v>22</v>
      </c>
      <c r="H251" s="1">
        <v>9</v>
      </c>
      <c r="I251" s="18">
        <v>125.04</v>
      </c>
      <c r="J251" s="18">
        <v>36900</v>
      </c>
      <c r="K251" s="2">
        <v>0</v>
      </c>
      <c r="L251" s="2" t="s">
        <v>3</v>
      </c>
      <c r="M251" s="8" t="s">
        <v>0</v>
      </c>
      <c r="N251" s="8" t="s">
        <v>8</v>
      </c>
      <c r="O251" s="7" t="s">
        <v>79</v>
      </c>
      <c r="P251" s="7" t="s">
        <v>0</v>
      </c>
      <c r="Q251" s="28" t="s">
        <v>80</v>
      </c>
      <c r="R251" s="7" t="s">
        <v>81</v>
      </c>
      <c r="S251" s="7" t="s">
        <v>96</v>
      </c>
      <c r="V251" s="8">
        <v>125.04</v>
      </c>
      <c r="W251" s="8" t="s">
        <v>196</v>
      </c>
      <c r="X251" s="15">
        <v>44696</v>
      </c>
      <c r="Y251" s="15">
        <v>44698</v>
      </c>
      <c r="Z251" s="17" t="s">
        <v>201</v>
      </c>
      <c r="AA251" s="118">
        <v>35000</v>
      </c>
      <c r="AB251" s="7">
        <v>12</v>
      </c>
      <c r="AC251" s="7">
        <v>0</v>
      </c>
      <c r="AD251" s="15">
        <v>44701</v>
      </c>
      <c r="AE251" s="50">
        <v>18500</v>
      </c>
      <c r="AF251" s="50"/>
      <c r="AG251" s="7" t="s">
        <v>72</v>
      </c>
      <c r="AH251" s="87">
        <v>44701</v>
      </c>
      <c r="AI251" s="82" t="s">
        <v>8</v>
      </c>
      <c r="AJ251" s="20" t="s">
        <v>562</v>
      </c>
      <c r="AK251" s="20" t="s">
        <v>112</v>
      </c>
      <c r="AL251" s="20">
        <v>18500</v>
      </c>
      <c r="AM251" s="20"/>
      <c r="AN251" s="20" t="s">
        <v>508</v>
      </c>
      <c r="AO251" s="20"/>
      <c r="AP251" s="7"/>
      <c r="AQ251" s="7"/>
      <c r="AR251" s="7"/>
      <c r="AS251" s="7"/>
      <c r="AT251" s="7"/>
      <c r="AU251" s="7"/>
      <c r="AV251" s="7"/>
      <c r="AW251" s="39">
        <v>44701</v>
      </c>
      <c r="AX251" s="34">
        <v>657</v>
      </c>
      <c r="AY251" s="34"/>
      <c r="AZ251" s="34"/>
      <c r="BA251" s="38">
        <v>18500</v>
      </c>
      <c r="BB251" s="20"/>
      <c r="BD251" s="7"/>
      <c r="CS251" s="9">
        <f t="shared" si="20"/>
        <v>18500</v>
      </c>
      <c r="CT251" s="20">
        <f t="shared" si="21"/>
        <v>18500</v>
      </c>
      <c r="CU251" s="20">
        <f t="shared" si="22"/>
        <v>0</v>
      </c>
      <c r="CV251" s="24">
        <f t="shared" si="23"/>
        <v>0</v>
      </c>
    </row>
    <row r="252" spans="1:100" x14ac:dyDescent="0.2">
      <c r="A252" s="7" t="s">
        <v>110</v>
      </c>
      <c r="B252" s="1">
        <v>66</v>
      </c>
      <c r="C252" s="2" t="s">
        <v>36</v>
      </c>
      <c r="D252" s="2" t="s">
        <v>37</v>
      </c>
      <c r="E252" s="1" t="s">
        <v>18</v>
      </c>
      <c r="F252" s="1">
        <v>10</v>
      </c>
      <c r="G252" s="1" t="s">
        <v>22</v>
      </c>
      <c r="H252" s="1">
        <v>9</v>
      </c>
      <c r="I252" s="18">
        <v>125.04</v>
      </c>
      <c r="J252" s="18">
        <v>36900</v>
      </c>
      <c r="K252" s="2">
        <v>0</v>
      </c>
      <c r="L252" s="2" t="s">
        <v>3</v>
      </c>
      <c r="M252" s="8" t="s">
        <v>0</v>
      </c>
      <c r="N252" s="8" t="s">
        <v>8</v>
      </c>
      <c r="O252" s="7" t="s">
        <v>79</v>
      </c>
      <c r="P252" s="7" t="s">
        <v>0</v>
      </c>
      <c r="Q252" s="28" t="s">
        <v>80</v>
      </c>
      <c r="R252" s="7" t="s">
        <v>81</v>
      </c>
      <c r="S252" s="7" t="s">
        <v>96</v>
      </c>
      <c r="V252" s="8">
        <v>125.04</v>
      </c>
      <c r="W252" s="8" t="s">
        <v>196</v>
      </c>
      <c r="X252" s="15">
        <v>44696</v>
      </c>
      <c r="Y252" s="15">
        <v>44698</v>
      </c>
      <c r="Z252" s="17" t="s">
        <v>201</v>
      </c>
      <c r="AA252" s="118">
        <v>35000</v>
      </c>
      <c r="AB252" s="7">
        <v>12</v>
      </c>
      <c r="AC252" s="7">
        <v>1</v>
      </c>
      <c r="AD252" s="15">
        <v>44747</v>
      </c>
      <c r="AE252" s="50">
        <v>1333.33</v>
      </c>
      <c r="AF252" s="50"/>
      <c r="AG252" s="7" t="s">
        <v>72</v>
      </c>
      <c r="AH252" s="87">
        <v>44748</v>
      </c>
      <c r="AI252" s="82" t="s">
        <v>8</v>
      </c>
      <c r="AJ252" s="20" t="s">
        <v>562</v>
      </c>
      <c r="AK252" s="20" t="s">
        <v>113</v>
      </c>
      <c r="AL252" s="20">
        <v>1333.33</v>
      </c>
      <c r="AM252" s="20"/>
      <c r="AN252" s="20" t="s">
        <v>514</v>
      </c>
      <c r="AO252" s="20"/>
      <c r="AP252" s="7"/>
      <c r="AQ252" s="7"/>
      <c r="AR252" s="7"/>
      <c r="AS252" s="7"/>
      <c r="AT252" s="7"/>
      <c r="AU252" s="7"/>
      <c r="AV252" s="7"/>
      <c r="AW252" s="39">
        <v>45842</v>
      </c>
      <c r="AX252" s="34">
        <v>763</v>
      </c>
      <c r="AY252" s="34"/>
      <c r="AZ252" s="34"/>
      <c r="BA252" s="38">
        <v>1333.33</v>
      </c>
      <c r="BB252" s="20"/>
      <c r="BD252" s="7"/>
      <c r="CS252" s="9">
        <f t="shared" si="20"/>
        <v>1333.33</v>
      </c>
      <c r="CT252" s="20">
        <f t="shared" si="21"/>
        <v>1333.33</v>
      </c>
      <c r="CU252" s="20">
        <f t="shared" si="22"/>
        <v>0</v>
      </c>
      <c r="CV252" s="24">
        <f t="shared" si="23"/>
        <v>0</v>
      </c>
    </row>
    <row r="253" spans="1:100" x14ac:dyDescent="0.2">
      <c r="A253" s="7" t="s">
        <v>110</v>
      </c>
      <c r="B253" s="1">
        <v>66</v>
      </c>
      <c r="C253" s="2" t="s">
        <v>36</v>
      </c>
      <c r="D253" s="2" t="s">
        <v>37</v>
      </c>
      <c r="E253" s="1" t="s">
        <v>18</v>
      </c>
      <c r="F253" s="1">
        <v>10</v>
      </c>
      <c r="G253" s="1" t="s">
        <v>22</v>
      </c>
      <c r="H253" s="1">
        <v>9</v>
      </c>
      <c r="I253" s="18">
        <v>125.04</v>
      </c>
      <c r="J253" s="18">
        <v>36900</v>
      </c>
      <c r="K253" s="2">
        <v>0</v>
      </c>
      <c r="L253" s="2" t="s">
        <v>3</v>
      </c>
      <c r="M253" s="8" t="s">
        <v>0</v>
      </c>
      <c r="N253" s="8" t="s">
        <v>8</v>
      </c>
      <c r="O253" s="7" t="s">
        <v>79</v>
      </c>
      <c r="P253" s="7" t="s">
        <v>0</v>
      </c>
      <c r="Q253" s="28" t="s">
        <v>80</v>
      </c>
      <c r="R253" s="7" t="s">
        <v>81</v>
      </c>
      <c r="S253" s="7" t="s">
        <v>96</v>
      </c>
      <c r="V253" s="8">
        <v>125.04</v>
      </c>
      <c r="W253" s="8" t="s">
        <v>196</v>
      </c>
      <c r="X253" s="15">
        <v>44696</v>
      </c>
      <c r="Y253" s="15">
        <v>44698</v>
      </c>
      <c r="Z253" s="17" t="s">
        <v>201</v>
      </c>
      <c r="AA253" s="118">
        <v>35000</v>
      </c>
      <c r="AB253" s="7">
        <v>12</v>
      </c>
      <c r="AC253" s="7">
        <v>2</v>
      </c>
      <c r="AD253" s="15">
        <v>44778</v>
      </c>
      <c r="AE253" s="50">
        <v>1333.33</v>
      </c>
      <c r="AF253" s="50"/>
      <c r="AG253" s="7" t="s">
        <v>72</v>
      </c>
      <c r="AH253" s="87">
        <v>44764</v>
      </c>
      <c r="AI253" s="82" t="s">
        <v>8</v>
      </c>
      <c r="AJ253" s="20" t="s">
        <v>562</v>
      </c>
      <c r="AK253" s="20" t="s">
        <v>114</v>
      </c>
      <c r="AL253" s="20">
        <v>1333</v>
      </c>
      <c r="AM253" s="20"/>
      <c r="AN253" s="20" t="s">
        <v>519</v>
      </c>
      <c r="AO253" s="20"/>
      <c r="AP253" s="7"/>
      <c r="AQ253" s="7"/>
      <c r="AR253" s="7"/>
      <c r="AS253" s="7"/>
      <c r="AT253" s="7"/>
      <c r="AU253" s="7"/>
      <c r="AV253" s="7"/>
      <c r="AW253" s="39">
        <v>44761</v>
      </c>
      <c r="AX253" s="34">
        <v>805</v>
      </c>
      <c r="AY253" s="34"/>
      <c r="AZ253" s="34"/>
      <c r="BA253" s="38">
        <v>1333</v>
      </c>
      <c r="BB253" s="20"/>
      <c r="BD253" s="7"/>
      <c r="CS253" s="9">
        <f t="shared" si="20"/>
        <v>1333</v>
      </c>
      <c r="CT253" s="20">
        <f t="shared" si="21"/>
        <v>1333</v>
      </c>
      <c r="CU253" s="20">
        <f t="shared" si="22"/>
        <v>0</v>
      </c>
      <c r="CV253" s="24">
        <f t="shared" si="23"/>
        <v>0.32999999999992724</v>
      </c>
    </row>
    <row r="254" spans="1:100" x14ac:dyDescent="0.2">
      <c r="A254" s="7" t="s">
        <v>110</v>
      </c>
      <c r="B254" s="1">
        <v>66</v>
      </c>
      <c r="C254" s="2" t="s">
        <v>36</v>
      </c>
      <c r="D254" s="2" t="s">
        <v>37</v>
      </c>
      <c r="E254" s="1" t="s">
        <v>18</v>
      </c>
      <c r="F254" s="1">
        <v>10</v>
      </c>
      <c r="G254" s="1" t="s">
        <v>22</v>
      </c>
      <c r="H254" s="1">
        <v>9</v>
      </c>
      <c r="I254" s="18">
        <v>125.04</v>
      </c>
      <c r="J254" s="18">
        <v>36900</v>
      </c>
      <c r="K254" s="2">
        <v>0</v>
      </c>
      <c r="L254" s="2" t="s">
        <v>3</v>
      </c>
      <c r="M254" s="8" t="s">
        <v>0</v>
      </c>
      <c r="N254" s="8" t="s">
        <v>8</v>
      </c>
      <c r="O254" s="7" t="s">
        <v>79</v>
      </c>
      <c r="P254" s="7" t="s">
        <v>0</v>
      </c>
      <c r="Q254" s="28" t="s">
        <v>80</v>
      </c>
      <c r="R254" s="7" t="s">
        <v>81</v>
      </c>
      <c r="S254" s="7" t="s">
        <v>96</v>
      </c>
      <c r="V254" s="8">
        <v>125.04</v>
      </c>
      <c r="W254" s="8" t="s">
        <v>196</v>
      </c>
      <c r="X254" s="15">
        <v>44696</v>
      </c>
      <c r="Y254" s="15">
        <v>44698</v>
      </c>
      <c r="Z254" s="17" t="s">
        <v>201</v>
      </c>
      <c r="AA254" s="118">
        <v>35000</v>
      </c>
      <c r="AB254" s="7">
        <v>12</v>
      </c>
      <c r="AC254" s="7">
        <v>3</v>
      </c>
      <c r="AD254" s="15">
        <v>44809</v>
      </c>
      <c r="AE254" s="50">
        <v>1333.33</v>
      </c>
      <c r="AF254" s="50"/>
      <c r="AG254" s="7" t="s">
        <v>72</v>
      </c>
      <c r="AH254" s="87">
        <v>44810</v>
      </c>
      <c r="AI254" s="82" t="s">
        <v>8</v>
      </c>
      <c r="AJ254" s="20" t="s">
        <v>562</v>
      </c>
      <c r="AK254" s="20" t="s">
        <v>115</v>
      </c>
      <c r="AL254" s="20">
        <v>1333</v>
      </c>
      <c r="AM254" s="20"/>
      <c r="AN254" s="20" t="s">
        <v>523</v>
      </c>
      <c r="AO254" s="20"/>
      <c r="AP254" s="7"/>
      <c r="AQ254" s="7"/>
      <c r="AR254" s="7"/>
      <c r="AS254" s="7"/>
      <c r="AT254" s="7"/>
      <c r="AU254" s="7"/>
      <c r="AV254" s="7"/>
      <c r="AW254" s="39">
        <v>44806</v>
      </c>
      <c r="AX254" s="34">
        <v>917</v>
      </c>
      <c r="AY254" s="34"/>
      <c r="AZ254" s="34"/>
      <c r="BA254" s="38">
        <v>1333.33</v>
      </c>
      <c r="BB254" s="20"/>
      <c r="BD254" s="7"/>
      <c r="CS254" s="9">
        <f t="shared" si="20"/>
        <v>1333</v>
      </c>
      <c r="CT254" s="20">
        <f t="shared" si="21"/>
        <v>1333.33</v>
      </c>
      <c r="CU254" s="20">
        <f t="shared" si="22"/>
        <v>-0.32999999999992724</v>
      </c>
      <c r="CV254" s="24">
        <f t="shared" si="23"/>
        <v>0.32999999999992724</v>
      </c>
    </row>
    <row r="255" spans="1:100" x14ac:dyDescent="0.2">
      <c r="A255" s="7" t="s">
        <v>110</v>
      </c>
      <c r="B255" s="1">
        <v>66</v>
      </c>
      <c r="C255" s="2" t="s">
        <v>36</v>
      </c>
      <c r="D255" s="2" t="s">
        <v>37</v>
      </c>
      <c r="E255" s="1" t="s">
        <v>18</v>
      </c>
      <c r="F255" s="1">
        <v>10</v>
      </c>
      <c r="G255" s="1" t="s">
        <v>22</v>
      </c>
      <c r="H255" s="1">
        <v>9</v>
      </c>
      <c r="I255" s="18">
        <v>125.04</v>
      </c>
      <c r="J255" s="18">
        <v>36900</v>
      </c>
      <c r="K255" s="2">
        <v>0</v>
      </c>
      <c r="L255" s="2" t="s">
        <v>3</v>
      </c>
      <c r="M255" s="8" t="s">
        <v>0</v>
      </c>
      <c r="N255" s="8" t="s">
        <v>8</v>
      </c>
      <c r="O255" s="7" t="s">
        <v>79</v>
      </c>
      <c r="P255" s="7" t="s">
        <v>0</v>
      </c>
      <c r="Q255" s="28" t="s">
        <v>80</v>
      </c>
      <c r="R255" s="7" t="s">
        <v>81</v>
      </c>
      <c r="S255" s="7" t="s">
        <v>96</v>
      </c>
      <c r="V255" s="8">
        <v>125.04</v>
      </c>
      <c r="W255" s="8" t="s">
        <v>196</v>
      </c>
      <c r="X255" s="15">
        <v>44696</v>
      </c>
      <c r="Y255" s="15">
        <v>44698</v>
      </c>
      <c r="Z255" s="17" t="s">
        <v>201</v>
      </c>
      <c r="AA255" s="118">
        <v>35000</v>
      </c>
      <c r="AB255" s="7">
        <v>12</v>
      </c>
      <c r="AC255" s="7">
        <v>4</v>
      </c>
      <c r="AD255" s="15">
        <v>44839</v>
      </c>
      <c r="AE255" s="50">
        <v>1333.33</v>
      </c>
      <c r="AF255" s="50"/>
      <c r="AG255" s="7" t="s">
        <v>72</v>
      </c>
      <c r="AH255" s="87">
        <v>44841</v>
      </c>
      <c r="AI255" s="82" t="s">
        <v>8</v>
      </c>
      <c r="AJ255" s="20" t="s">
        <v>562</v>
      </c>
      <c r="AK255" s="20" t="s">
        <v>116</v>
      </c>
      <c r="AL255" s="20">
        <v>1333</v>
      </c>
      <c r="AM255" s="20"/>
      <c r="AN255" s="20" t="s">
        <v>524</v>
      </c>
      <c r="AO255" s="20"/>
      <c r="AP255" s="7"/>
      <c r="AQ255" s="7"/>
      <c r="AR255" s="7"/>
      <c r="AS255" s="7"/>
      <c r="AT255" s="7"/>
      <c r="AU255" s="7"/>
      <c r="AV255" s="7"/>
      <c r="AW255" s="39">
        <v>44839</v>
      </c>
      <c r="AX255" s="34">
        <v>993</v>
      </c>
      <c r="AY255" s="34"/>
      <c r="AZ255" s="34"/>
      <c r="BA255" s="38">
        <v>1333</v>
      </c>
      <c r="BB255" s="20"/>
      <c r="BD255" s="7"/>
      <c r="CS255" s="9">
        <f t="shared" si="20"/>
        <v>1333</v>
      </c>
      <c r="CT255" s="20">
        <f t="shared" si="21"/>
        <v>1333</v>
      </c>
      <c r="CU255" s="20">
        <f t="shared" si="22"/>
        <v>0</v>
      </c>
      <c r="CV255" s="24">
        <f t="shared" si="23"/>
        <v>0.32999999999992724</v>
      </c>
    </row>
    <row r="256" spans="1:100" x14ac:dyDescent="0.2">
      <c r="A256" s="7" t="s">
        <v>110</v>
      </c>
      <c r="B256" s="1">
        <v>66</v>
      </c>
      <c r="C256" s="2" t="s">
        <v>36</v>
      </c>
      <c r="D256" s="2" t="s">
        <v>37</v>
      </c>
      <c r="E256" s="1" t="s">
        <v>18</v>
      </c>
      <c r="F256" s="1">
        <v>10</v>
      </c>
      <c r="G256" s="1" t="s">
        <v>22</v>
      </c>
      <c r="H256" s="1">
        <v>9</v>
      </c>
      <c r="I256" s="18">
        <v>125.04</v>
      </c>
      <c r="J256" s="18">
        <v>36900</v>
      </c>
      <c r="K256" s="2">
        <v>0</v>
      </c>
      <c r="L256" s="2" t="s">
        <v>3</v>
      </c>
      <c r="M256" s="8" t="s">
        <v>0</v>
      </c>
      <c r="N256" s="8" t="s">
        <v>8</v>
      </c>
      <c r="O256" s="7" t="s">
        <v>79</v>
      </c>
      <c r="P256" s="7" t="s">
        <v>0</v>
      </c>
      <c r="Q256" s="28" t="s">
        <v>80</v>
      </c>
      <c r="R256" s="7" t="s">
        <v>81</v>
      </c>
      <c r="S256" s="7" t="s">
        <v>96</v>
      </c>
      <c r="V256" s="8">
        <v>125.04</v>
      </c>
      <c r="W256" s="8" t="s">
        <v>196</v>
      </c>
      <c r="X256" s="15">
        <v>44696</v>
      </c>
      <c r="Y256" s="15">
        <v>44698</v>
      </c>
      <c r="Z256" s="17" t="s">
        <v>201</v>
      </c>
      <c r="AA256" s="118">
        <v>35000</v>
      </c>
      <c r="AB256" s="7">
        <v>12</v>
      </c>
      <c r="AC256" s="7">
        <v>5</v>
      </c>
      <c r="AD256" s="15">
        <v>44870</v>
      </c>
      <c r="AE256" s="50">
        <v>1333.33</v>
      </c>
      <c r="AF256" s="50"/>
      <c r="AG256" s="7" t="s">
        <v>72</v>
      </c>
      <c r="AH256" s="87">
        <v>44874</v>
      </c>
      <c r="AI256" s="82" t="s">
        <v>8</v>
      </c>
      <c r="AJ256" s="20" t="s">
        <v>562</v>
      </c>
      <c r="AK256" s="20" t="s">
        <v>117</v>
      </c>
      <c r="AL256" s="20">
        <v>1333</v>
      </c>
      <c r="AM256" s="20"/>
      <c r="AN256" s="20" t="s">
        <v>529</v>
      </c>
      <c r="AO256" s="20"/>
      <c r="AP256" s="7"/>
      <c r="AQ256" s="7"/>
      <c r="AR256" s="7"/>
      <c r="AS256" s="7"/>
      <c r="AT256" s="7"/>
      <c r="AU256" s="7"/>
      <c r="AV256" s="7"/>
      <c r="AW256" s="39">
        <v>44869</v>
      </c>
      <c r="AX256" s="34">
        <v>1056</v>
      </c>
      <c r="AY256" s="34"/>
      <c r="AZ256" s="34"/>
      <c r="BA256" s="38">
        <v>1333</v>
      </c>
      <c r="BB256" s="20"/>
      <c r="BD256" s="7"/>
      <c r="CS256" s="9">
        <f t="shared" si="20"/>
        <v>1333</v>
      </c>
      <c r="CT256" s="20">
        <f t="shared" si="21"/>
        <v>1333</v>
      </c>
      <c r="CU256" s="20">
        <f t="shared" si="22"/>
        <v>0</v>
      </c>
      <c r="CV256" s="24">
        <f t="shared" si="23"/>
        <v>0.32999999999992724</v>
      </c>
    </row>
    <row r="257" spans="1:100" x14ac:dyDescent="0.2">
      <c r="A257" s="7" t="s">
        <v>110</v>
      </c>
      <c r="B257" s="1">
        <v>66</v>
      </c>
      <c r="C257" s="2" t="s">
        <v>36</v>
      </c>
      <c r="D257" s="2" t="s">
        <v>37</v>
      </c>
      <c r="E257" s="1" t="s">
        <v>18</v>
      </c>
      <c r="F257" s="1">
        <v>10</v>
      </c>
      <c r="G257" s="1" t="s">
        <v>22</v>
      </c>
      <c r="H257" s="1">
        <v>9</v>
      </c>
      <c r="I257" s="18">
        <v>125.04</v>
      </c>
      <c r="J257" s="18">
        <v>36900</v>
      </c>
      <c r="K257" s="2">
        <v>0</v>
      </c>
      <c r="L257" s="2" t="s">
        <v>3</v>
      </c>
      <c r="M257" s="8" t="s">
        <v>0</v>
      </c>
      <c r="N257" s="8" t="s">
        <v>8</v>
      </c>
      <c r="O257" s="7" t="s">
        <v>79</v>
      </c>
      <c r="P257" s="7" t="s">
        <v>0</v>
      </c>
      <c r="Q257" s="28" t="s">
        <v>80</v>
      </c>
      <c r="R257" s="7" t="s">
        <v>81</v>
      </c>
      <c r="S257" s="7" t="s">
        <v>96</v>
      </c>
      <c r="V257" s="8">
        <v>125.04</v>
      </c>
      <c r="W257" s="8" t="s">
        <v>196</v>
      </c>
      <c r="X257" s="15">
        <v>44696</v>
      </c>
      <c r="Y257" s="15">
        <v>44698</v>
      </c>
      <c r="Z257" s="17" t="s">
        <v>201</v>
      </c>
      <c r="AA257" s="118">
        <v>35000</v>
      </c>
      <c r="AB257" s="7">
        <v>12</v>
      </c>
      <c r="AC257" s="7">
        <v>6</v>
      </c>
      <c r="AD257" s="15">
        <v>44900</v>
      </c>
      <c r="AE257" s="50">
        <v>1333.33</v>
      </c>
      <c r="AF257" s="50"/>
      <c r="AG257" s="7" t="s">
        <v>72</v>
      </c>
      <c r="AH257" s="87">
        <v>44909</v>
      </c>
      <c r="AI257" s="82" t="s">
        <v>8</v>
      </c>
      <c r="AJ257" s="20" t="s">
        <v>562</v>
      </c>
      <c r="AK257" s="20" t="s">
        <v>118</v>
      </c>
      <c r="AL257" s="20">
        <v>1333.33</v>
      </c>
      <c r="AM257" s="20"/>
      <c r="AN257" s="20" t="s">
        <v>534</v>
      </c>
      <c r="AO257" s="20"/>
      <c r="AP257" s="7"/>
      <c r="AQ257" s="7"/>
      <c r="AR257" s="7"/>
      <c r="AS257" s="7"/>
      <c r="AT257" s="7"/>
      <c r="AU257" s="7"/>
      <c r="AV257" s="7"/>
      <c r="AW257" s="39">
        <v>44900</v>
      </c>
      <c r="AX257" s="34">
        <v>1090</v>
      </c>
      <c r="AY257" s="34"/>
      <c r="AZ257" s="34"/>
      <c r="BA257" s="38">
        <v>1333.33</v>
      </c>
      <c r="BB257" s="20"/>
      <c r="BD257" s="7"/>
      <c r="CS257" s="9">
        <f t="shared" si="20"/>
        <v>1333.33</v>
      </c>
      <c r="CT257" s="20">
        <f t="shared" si="21"/>
        <v>1333.33</v>
      </c>
      <c r="CU257" s="20">
        <f t="shared" si="22"/>
        <v>0</v>
      </c>
      <c r="CV257" s="24">
        <f t="shared" si="23"/>
        <v>0</v>
      </c>
    </row>
    <row r="258" spans="1:100" x14ac:dyDescent="0.2">
      <c r="A258" s="7" t="s">
        <v>110</v>
      </c>
      <c r="B258" s="1">
        <v>66</v>
      </c>
      <c r="C258" s="2" t="s">
        <v>36</v>
      </c>
      <c r="D258" s="2" t="s">
        <v>37</v>
      </c>
      <c r="E258" s="1" t="s">
        <v>18</v>
      </c>
      <c r="F258" s="1">
        <v>10</v>
      </c>
      <c r="G258" s="1" t="s">
        <v>22</v>
      </c>
      <c r="H258" s="1">
        <v>9</v>
      </c>
      <c r="I258" s="18">
        <v>125.04</v>
      </c>
      <c r="J258" s="18">
        <v>36900</v>
      </c>
      <c r="K258" s="2">
        <v>0</v>
      </c>
      <c r="L258" s="2" t="s">
        <v>3</v>
      </c>
      <c r="M258" s="8" t="s">
        <v>0</v>
      </c>
      <c r="N258" s="8" t="s">
        <v>8</v>
      </c>
      <c r="O258" s="7" t="s">
        <v>79</v>
      </c>
      <c r="P258" s="7" t="s">
        <v>0</v>
      </c>
      <c r="Q258" s="28" t="s">
        <v>80</v>
      </c>
      <c r="R258" s="7" t="s">
        <v>81</v>
      </c>
      <c r="S258" s="7" t="s">
        <v>96</v>
      </c>
      <c r="V258" s="8">
        <v>125.04</v>
      </c>
      <c r="W258" s="8" t="s">
        <v>196</v>
      </c>
      <c r="X258" s="15">
        <v>44696</v>
      </c>
      <c r="Y258" s="15">
        <v>44698</v>
      </c>
      <c r="Z258" s="17" t="s">
        <v>201</v>
      </c>
      <c r="AA258" s="118">
        <v>35000</v>
      </c>
      <c r="AB258" s="7">
        <v>12</v>
      </c>
      <c r="AC258" s="7">
        <v>7</v>
      </c>
      <c r="AD258" s="15">
        <v>44931</v>
      </c>
      <c r="AE258" s="50">
        <v>1333.33</v>
      </c>
      <c r="AF258" s="50"/>
      <c r="AG258" s="7" t="s">
        <v>72</v>
      </c>
      <c r="AH258" s="87">
        <v>44938</v>
      </c>
      <c r="AI258" s="82" t="s">
        <v>8</v>
      </c>
      <c r="AJ258" s="20" t="s">
        <v>562</v>
      </c>
      <c r="AK258" s="20" t="s">
        <v>119</v>
      </c>
      <c r="AL258" s="20">
        <v>1333.33</v>
      </c>
      <c r="AM258" s="20"/>
      <c r="AN258" s="20" t="s">
        <v>535</v>
      </c>
      <c r="AO258" s="20"/>
      <c r="AP258" s="7"/>
      <c r="AQ258" s="7"/>
      <c r="AR258" s="7"/>
      <c r="AS258" s="7"/>
      <c r="AT258" s="7"/>
      <c r="AU258" s="7"/>
      <c r="AV258" s="7"/>
      <c r="AW258" s="39">
        <v>44936</v>
      </c>
      <c r="AX258" s="34">
        <v>1141</v>
      </c>
      <c r="AY258" s="34"/>
      <c r="AZ258" s="34"/>
      <c r="BA258" s="38">
        <v>1333.33</v>
      </c>
      <c r="BB258" s="20"/>
      <c r="BD258" s="7"/>
      <c r="CS258" s="9">
        <f t="shared" si="20"/>
        <v>1333.33</v>
      </c>
      <c r="CT258" s="20">
        <f t="shared" si="21"/>
        <v>1333.33</v>
      </c>
      <c r="CU258" s="20">
        <f t="shared" si="22"/>
        <v>0</v>
      </c>
      <c r="CV258" s="24">
        <f t="shared" si="23"/>
        <v>0</v>
      </c>
    </row>
    <row r="259" spans="1:100" x14ac:dyDescent="0.2">
      <c r="A259" s="7" t="s">
        <v>110</v>
      </c>
      <c r="B259" s="1">
        <v>66</v>
      </c>
      <c r="C259" s="2" t="s">
        <v>36</v>
      </c>
      <c r="D259" s="2" t="s">
        <v>37</v>
      </c>
      <c r="E259" s="1" t="s">
        <v>18</v>
      </c>
      <c r="F259" s="1">
        <v>10</v>
      </c>
      <c r="G259" s="1" t="s">
        <v>22</v>
      </c>
      <c r="H259" s="1">
        <v>9</v>
      </c>
      <c r="I259" s="18">
        <v>125.04</v>
      </c>
      <c r="J259" s="18">
        <v>36900</v>
      </c>
      <c r="K259" s="2">
        <v>0</v>
      </c>
      <c r="L259" s="2" t="s">
        <v>3</v>
      </c>
      <c r="M259" s="8" t="s">
        <v>0</v>
      </c>
      <c r="N259" s="8" t="s">
        <v>8</v>
      </c>
      <c r="O259" s="7" t="s">
        <v>79</v>
      </c>
      <c r="P259" s="7" t="s">
        <v>0</v>
      </c>
      <c r="Q259" s="28" t="s">
        <v>80</v>
      </c>
      <c r="R259" s="7" t="s">
        <v>81</v>
      </c>
      <c r="S259" s="7" t="s">
        <v>96</v>
      </c>
      <c r="V259" s="8">
        <v>125.04</v>
      </c>
      <c r="W259" s="8" t="s">
        <v>196</v>
      </c>
      <c r="X259" s="15">
        <v>44696</v>
      </c>
      <c r="Y259" s="15">
        <v>44698</v>
      </c>
      <c r="Z259" s="17" t="s">
        <v>201</v>
      </c>
      <c r="AA259" s="118">
        <v>35000</v>
      </c>
      <c r="AB259" s="7">
        <v>12</v>
      </c>
      <c r="AC259" s="7">
        <v>8</v>
      </c>
      <c r="AD259" s="15">
        <v>44962</v>
      </c>
      <c r="AE259" s="50">
        <v>1333.33</v>
      </c>
      <c r="AF259" s="50"/>
      <c r="AG259" s="7" t="s">
        <v>72</v>
      </c>
      <c r="AH259" s="87">
        <v>44961</v>
      </c>
      <c r="AI259" s="82" t="s">
        <v>8</v>
      </c>
      <c r="AJ259" s="20" t="s">
        <v>562</v>
      </c>
      <c r="AK259" s="20" t="s">
        <v>120</v>
      </c>
      <c r="AL259" s="20">
        <v>1333.33</v>
      </c>
      <c r="AM259" s="20"/>
      <c r="AN259" s="20" t="s">
        <v>541</v>
      </c>
      <c r="AO259" s="20"/>
      <c r="AP259" s="7"/>
      <c r="AQ259" s="7"/>
      <c r="AR259" s="7"/>
      <c r="AS259" s="7"/>
      <c r="AT259" s="7"/>
      <c r="AU259" s="7"/>
      <c r="AV259" s="7"/>
      <c r="AW259" s="39">
        <v>44958</v>
      </c>
      <c r="AX259" s="34">
        <v>1186</v>
      </c>
      <c r="AY259" s="34"/>
      <c r="AZ259" s="34"/>
      <c r="BA259" s="38">
        <v>1333.33</v>
      </c>
      <c r="BB259" s="20"/>
      <c r="BD259" s="7"/>
      <c r="CS259" s="9">
        <f t="shared" si="20"/>
        <v>1333.33</v>
      </c>
      <c r="CT259" s="20">
        <f t="shared" si="21"/>
        <v>1333.33</v>
      </c>
      <c r="CU259" s="20">
        <f t="shared" si="22"/>
        <v>0</v>
      </c>
      <c r="CV259" s="24">
        <f t="shared" si="23"/>
        <v>0</v>
      </c>
    </row>
    <row r="260" spans="1:100" x14ac:dyDescent="0.2">
      <c r="A260" s="7" t="s">
        <v>110</v>
      </c>
      <c r="B260" s="1">
        <v>66</v>
      </c>
      <c r="C260" s="2" t="s">
        <v>36</v>
      </c>
      <c r="D260" s="2" t="s">
        <v>37</v>
      </c>
      <c r="E260" s="1" t="s">
        <v>18</v>
      </c>
      <c r="F260" s="1">
        <v>10</v>
      </c>
      <c r="G260" s="1" t="s">
        <v>22</v>
      </c>
      <c r="H260" s="1">
        <v>9</v>
      </c>
      <c r="I260" s="18">
        <v>125.04</v>
      </c>
      <c r="J260" s="18">
        <v>36900</v>
      </c>
      <c r="K260" s="2">
        <v>0</v>
      </c>
      <c r="L260" s="2" t="s">
        <v>3</v>
      </c>
      <c r="M260" s="8" t="s">
        <v>0</v>
      </c>
      <c r="N260" s="8" t="s">
        <v>8</v>
      </c>
      <c r="O260" s="7" t="s">
        <v>79</v>
      </c>
      <c r="P260" s="7" t="s">
        <v>0</v>
      </c>
      <c r="Q260" s="28" t="s">
        <v>80</v>
      </c>
      <c r="R260" s="7" t="s">
        <v>81</v>
      </c>
      <c r="S260" s="7" t="s">
        <v>96</v>
      </c>
      <c r="V260" s="8">
        <v>125.04</v>
      </c>
      <c r="W260" s="8" t="s">
        <v>196</v>
      </c>
      <c r="X260" s="15">
        <v>44696</v>
      </c>
      <c r="Y260" s="15">
        <v>44698</v>
      </c>
      <c r="Z260" s="17" t="s">
        <v>201</v>
      </c>
      <c r="AA260" s="118">
        <v>35000</v>
      </c>
      <c r="AB260" s="7">
        <v>12</v>
      </c>
      <c r="AC260" s="7">
        <v>9</v>
      </c>
      <c r="AD260" s="15">
        <v>44990</v>
      </c>
      <c r="AE260" s="50">
        <v>1333.33</v>
      </c>
      <c r="AF260" s="50"/>
      <c r="AG260" s="7" t="s">
        <v>72</v>
      </c>
      <c r="AH260" s="87">
        <v>44996</v>
      </c>
      <c r="AI260" s="82" t="s">
        <v>8</v>
      </c>
      <c r="AJ260" s="20" t="s">
        <v>562</v>
      </c>
      <c r="AK260" s="20" t="s">
        <v>121</v>
      </c>
      <c r="AL260" s="20">
        <v>1333.32</v>
      </c>
      <c r="AM260" s="20"/>
      <c r="AN260" s="20" t="s">
        <v>544</v>
      </c>
      <c r="AO260" s="20"/>
      <c r="AP260" s="7"/>
      <c r="AQ260" s="7"/>
      <c r="AR260" s="7"/>
      <c r="AS260" s="7"/>
      <c r="AT260" s="7"/>
      <c r="AU260" s="7"/>
      <c r="AV260" s="7"/>
      <c r="AW260" s="39">
        <v>44993</v>
      </c>
      <c r="AX260" s="34">
        <v>1300</v>
      </c>
      <c r="AY260" s="34"/>
      <c r="AZ260" s="34"/>
      <c r="BA260" s="38">
        <v>1333.33</v>
      </c>
      <c r="BB260" s="20"/>
      <c r="BD260" s="7"/>
      <c r="CS260" s="9">
        <f t="shared" si="20"/>
        <v>1333.32</v>
      </c>
      <c r="CT260" s="20">
        <f t="shared" si="21"/>
        <v>1333.33</v>
      </c>
      <c r="CU260" s="20">
        <f t="shared" si="22"/>
        <v>-9.9999999999909051E-3</v>
      </c>
      <c r="CV260" s="24">
        <f t="shared" si="23"/>
        <v>9.9999999999909051E-3</v>
      </c>
    </row>
    <row r="261" spans="1:100" x14ac:dyDescent="0.2">
      <c r="A261" s="7" t="s">
        <v>110</v>
      </c>
      <c r="B261" s="1">
        <v>66</v>
      </c>
      <c r="C261" s="2" t="s">
        <v>36</v>
      </c>
      <c r="D261" s="2" t="s">
        <v>37</v>
      </c>
      <c r="E261" s="1" t="s">
        <v>18</v>
      </c>
      <c r="F261" s="1">
        <v>10</v>
      </c>
      <c r="G261" s="1" t="s">
        <v>22</v>
      </c>
      <c r="H261" s="1">
        <v>9</v>
      </c>
      <c r="I261" s="18">
        <v>125.04</v>
      </c>
      <c r="J261" s="18">
        <v>36900</v>
      </c>
      <c r="K261" s="2">
        <v>0</v>
      </c>
      <c r="L261" s="2" t="s">
        <v>3</v>
      </c>
      <c r="M261" s="8" t="s">
        <v>0</v>
      </c>
      <c r="N261" s="8" t="s">
        <v>8</v>
      </c>
      <c r="O261" s="7" t="s">
        <v>79</v>
      </c>
      <c r="P261" s="7" t="s">
        <v>0</v>
      </c>
      <c r="Q261" s="28" t="s">
        <v>80</v>
      </c>
      <c r="R261" s="7" t="s">
        <v>81</v>
      </c>
      <c r="S261" s="7" t="s">
        <v>96</v>
      </c>
      <c r="V261" s="8">
        <v>125.04</v>
      </c>
      <c r="W261" s="8" t="s">
        <v>196</v>
      </c>
      <c r="X261" s="15">
        <v>44696</v>
      </c>
      <c r="Y261" s="15">
        <v>44698</v>
      </c>
      <c r="Z261" s="17" t="s">
        <v>201</v>
      </c>
      <c r="AA261" s="118">
        <v>35000</v>
      </c>
      <c r="AB261" s="7">
        <v>12</v>
      </c>
      <c r="AC261" s="7">
        <v>10</v>
      </c>
      <c r="AD261" s="15">
        <v>45021</v>
      </c>
      <c r="AE261" s="50">
        <v>1333.33</v>
      </c>
      <c r="AF261" s="50"/>
      <c r="AG261" s="7" t="s">
        <v>72</v>
      </c>
      <c r="AH261" s="87">
        <v>45029</v>
      </c>
      <c r="AI261" s="82" t="s">
        <v>8</v>
      </c>
      <c r="AJ261" s="20" t="s">
        <v>562</v>
      </c>
      <c r="AK261" s="20" t="s">
        <v>122</v>
      </c>
      <c r="AL261" s="20">
        <v>1333.32</v>
      </c>
      <c r="AM261" s="20"/>
      <c r="AN261" s="20" t="s">
        <v>548</v>
      </c>
      <c r="AO261" s="20"/>
      <c r="AP261" s="7"/>
      <c r="AQ261" s="7"/>
      <c r="AR261" s="7"/>
      <c r="AS261" s="7"/>
      <c r="AT261" s="7"/>
      <c r="AU261" s="7"/>
      <c r="AV261" s="7"/>
      <c r="AW261" s="39">
        <v>45027</v>
      </c>
      <c r="AX261" s="34">
        <v>1395</v>
      </c>
      <c r="AY261" s="34"/>
      <c r="AZ261" s="34"/>
      <c r="BA261" s="38">
        <v>1333.32</v>
      </c>
      <c r="BB261" s="20"/>
      <c r="BD261" s="7"/>
      <c r="CS261" s="9">
        <f t="shared" si="20"/>
        <v>1333.32</v>
      </c>
      <c r="CT261" s="20">
        <f t="shared" si="21"/>
        <v>1333.32</v>
      </c>
      <c r="CU261" s="20">
        <f t="shared" si="22"/>
        <v>0</v>
      </c>
      <c r="CV261" s="24">
        <f t="shared" si="23"/>
        <v>9.9999999999909051E-3</v>
      </c>
    </row>
    <row r="262" spans="1:100" x14ac:dyDescent="0.2">
      <c r="A262" s="7" t="s">
        <v>110</v>
      </c>
      <c r="B262" s="1">
        <v>66</v>
      </c>
      <c r="C262" s="2" t="s">
        <v>36</v>
      </c>
      <c r="D262" s="2" t="s">
        <v>37</v>
      </c>
      <c r="E262" s="1" t="s">
        <v>18</v>
      </c>
      <c r="F262" s="1">
        <v>10</v>
      </c>
      <c r="G262" s="1" t="s">
        <v>22</v>
      </c>
      <c r="H262" s="1">
        <v>9</v>
      </c>
      <c r="I262" s="18">
        <v>125.04</v>
      </c>
      <c r="J262" s="18">
        <v>36900</v>
      </c>
      <c r="K262" s="2">
        <v>0</v>
      </c>
      <c r="L262" s="2" t="s">
        <v>3</v>
      </c>
      <c r="M262" s="8" t="s">
        <v>0</v>
      </c>
      <c r="N262" s="8" t="s">
        <v>8</v>
      </c>
      <c r="O262" s="7" t="s">
        <v>79</v>
      </c>
      <c r="P262" s="7" t="s">
        <v>0</v>
      </c>
      <c r="Q262" s="28" t="s">
        <v>80</v>
      </c>
      <c r="R262" s="7" t="s">
        <v>81</v>
      </c>
      <c r="S262" s="7" t="s">
        <v>96</v>
      </c>
      <c r="V262" s="8">
        <v>125.04</v>
      </c>
      <c r="W262" s="8" t="s">
        <v>196</v>
      </c>
      <c r="X262" s="15">
        <v>44696</v>
      </c>
      <c r="Y262" s="15">
        <v>44698</v>
      </c>
      <c r="Z262" s="17" t="s">
        <v>201</v>
      </c>
      <c r="AA262" s="118">
        <v>35000</v>
      </c>
      <c r="AB262" s="7">
        <v>12</v>
      </c>
      <c r="AC262" s="7">
        <v>11</v>
      </c>
      <c r="AD262" s="15">
        <v>45051</v>
      </c>
      <c r="AE262" s="50">
        <v>1333.33</v>
      </c>
      <c r="AF262" s="50"/>
      <c r="AG262" s="7" t="s">
        <v>72</v>
      </c>
      <c r="AH262" s="87">
        <v>45055</v>
      </c>
      <c r="AI262" s="82" t="s">
        <v>8</v>
      </c>
      <c r="AJ262" s="20" t="s">
        <v>562</v>
      </c>
      <c r="AK262" s="20" t="s">
        <v>123</v>
      </c>
      <c r="AL262" s="20">
        <v>1333.32</v>
      </c>
      <c r="AM262" s="20"/>
      <c r="AN262" s="20" t="s">
        <v>552</v>
      </c>
      <c r="AO262" s="20"/>
      <c r="AP262" s="7"/>
      <c r="AQ262" s="7"/>
      <c r="AR262" s="7"/>
      <c r="AS262" s="7"/>
      <c r="AT262" s="7"/>
      <c r="AU262" s="7"/>
      <c r="AV262" s="7"/>
      <c r="AW262" s="39">
        <v>45049</v>
      </c>
      <c r="AX262" s="34">
        <v>1475</v>
      </c>
      <c r="AY262" s="34"/>
      <c r="AZ262" s="34"/>
      <c r="BA262" s="38">
        <v>1333.32</v>
      </c>
      <c r="BB262" s="20"/>
      <c r="BD262" s="7"/>
      <c r="CS262" s="9">
        <f t="shared" si="20"/>
        <v>1333.32</v>
      </c>
      <c r="CT262" s="20">
        <f t="shared" si="21"/>
        <v>1333.32</v>
      </c>
      <c r="CU262" s="20">
        <f t="shared" si="22"/>
        <v>0</v>
      </c>
      <c r="CV262" s="24">
        <f t="shared" si="23"/>
        <v>9.9999999999909051E-3</v>
      </c>
    </row>
    <row r="263" spans="1:100" x14ac:dyDescent="0.2">
      <c r="A263" s="7" t="s">
        <v>110</v>
      </c>
      <c r="B263" s="1">
        <v>66</v>
      </c>
      <c r="C263" s="2" t="s">
        <v>36</v>
      </c>
      <c r="D263" s="2" t="s">
        <v>37</v>
      </c>
      <c r="E263" s="1" t="s">
        <v>18</v>
      </c>
      <c r="F263" s="1">
        <v>10</v>
      </c>
      <c r="G263" s="1" t="s">
        <v>22</v>
      </c>
      <c r="H263" s="1">
        <v>9</v>
      </c>
      <c r="I263" s="18">
        <v>125.04</v>
      </c>
      <c r="J263" s="18">
        <v>36900</v>
      </c>
      <c r="K263" s="2">
        <v>0</v>
      </c>
      <c r="L263" s="2" t="s">
        <v>3</v>
      </c>
      <c r="M263" s="8" t="s">
        <v>0</v>
      </c>
      <c r="N263" s="8" t="s">
        <v>8</v>
      </c>
      <c r="O263" s="7" t="s">
        <v>79</v>
      </c>
      <c r="P263" s="7" t="s">
        <v>0</v>
      </c>
      <c r="Q263" s="28" t="s">
        <v>80</v>
      </c>
      <c r="R263" s="7" t="s">
        <v>81</v>
      </c>
      <c r="S263" s="7" t="s">
        <v>96</v>
      </c>
      <c r="V263" s="8">
        <v>125.04</v>
      </c>
      <c r="W263" s="8" t="s">
        <v>196</v>
      </c>
      <c r="X263" s="15">
        <v>44696</v>
      </c>
      <c r="Y263" s="15">
        <v>44698</v>
      </c>
      <c r="Z263" s="17" t="s">
        <v>201</v>
      </c>
      <c r="AA263" s="118">
        <v>35000</v>
      </c>
      <c r="AB263" s="7">
        <v>12</v>
      </c>
      <c r="AC263" s="7">
        <v>12</v>
      </c>
      <c r="AD263" s="15">
        <v>45082</v>
      </c>
      <c r="AE263" s="50">
        <v>1333.33</v>
      </c>
      <c r="AF263" s="50"/>
      <c r="AG263" s="7" t="s">
        <v>72</v>
      </c>
      <c r="AH263" s="87">
        <v>45085</v>
      </c>
      <c r="AI263" s="82" t="s">
        <v>8</v>
      </c>
      <c r="AJ263" s="20" t="s">
        <v>562</v>
      </c>
      <c r="AK263" s="20" t="s">
        <v>124</v>
      </c>
      <c r="AL263" s="20">
        <v>1333.33</v>
      </c>
      <c r="AM263" s="20"/>
      <c r="AN263" s="20" t="s">
        <v>557</v>
      </c>
      <c r="AO263" s="20"/>
      <c r="AP263" s="7"/>
      <c r="AQ263" s="7"/>
      <c r="AR263" s="7"/>
      <c r="AS263" s="7"/>
      <c r="AT263" s="7"/>
      <c r="AU263" s="7"/>
      <c r="AV263" s="7"/>
      <c r="AW263" s="39">
        <v>45083</v>
      </c>
      <c r="AX263" s="34">
        <v>1592</v>
      </c>
      <c r="AY263" s="34"/>
      <c r="AZ263" s="34"/>
      <c r="BA263" s="38">
        <v>1333.33</v>
      </c>
      <c r="BB263" s="20"/>
      <c r="BD263" s="7"/>
      <c r="CS263" s="9">
        <f t="shared" si="20"/>
        <v>1333.33</v>
      </c>
      <c r="CT263" s="20">
        <f t="shared" si="21"/>
        <v>1333.33</v>
      </c>
      <c r="CU263" s="20">
        <f t="shared" si="22"/>
        <v>0</v>
      </c>
      <c r="CV263" s="24">
        <f t="shared" si="23"/>
        <v>0</v>
      </c>
    </row>
    <row r="264" spans="1:100" x14ac:dyDescent="0.2">
      <c r="A264" s="7" t="s">
        <v>110</v>
      </c>
      <c r="B264" s="1">
        <v>66</v>
      </c>
      <c r="C264" s="2" t="s">
        <v>36</v>
      </c>
      <c r="D264" s="2" t="s">
        <v>37</v>
      </c>
      <c r="E264" s="1" t="s">
        <v>18</v>
      </c>
      <c r="F264" s="1">
        <v>10</v>
      </c>
      <c r="G264" s="1" t="s">
        <v>22</v>
      </c>
      <c r="H264" s="1">
        <v>9</v>
      </c>
      <c r="I264" s="18">
        <v>125.04</v>
      </c>
      <c r="J264" s="18">
        <v>36900</v>
      </c>
      <c r="K264" s="2">
        <v>0</v>
      </c>
      <c r="L264" s="2" t="s">
        <v>3</v>
      </c>
      <c r="M264" s="8" t="s">
        <v>0</v>
      </c>
      <c r="N264" s="8" t="s">
        <v>8</v>
      </c>
      <c r="O264" s="7" t="s">
        <v>79</v>
      </c>
      <c r="P264" s="7" t="s">
        <v>0</v>
      </c>
      <c r="Q264" s="28" t="s">
        <v>80</v>
      </c>
      <c r="R264" s="7" t="s">
        <v>81</v>
      </c>
      <c r="S264" s="7" t="s">
        <v>109</v>
      </c>
      <c r="V264" s="8">
        <v>12.5</v>
      </c>
      <c r="W264" s="8" t="s">
        <v>196</v>
      </c>
      <c r="X264" s="15">
        <v>44696</v>
      </c>
      <c r="Y264" s="15">
        <v>44698</v>
      </c>
      <c r="Z264" s="17" t="s">
        <v>201</v>
      </c>
      <c r="AA264" s="118">
        <v>6000</v>
      </c>
      <c r="AB264" s="7">
        <v>12</v>
      </c>
      <c r="AC264" s="7">
        <v>0</v>
      </c>
      <c r="AD264" s="15">
        <v>44701</v>
      </c>
      <c r="AE264" s="50">
        <v>1000</v>
      </c>
      <c r="AF264" s="50"/>
      <c r="AG264" s="7" t="s">
        <v>72</v>
      </c>
      <c r="AH264" s="15">
        <v>44701</v>
      </c>
      <c r="AI264" s="82" t="s">
        <v>8</v>
      </c>
      <c r="AJ264" s="20" t="s">
        <v>562</v>
      </c>
      <c r="AK264" s="20" t="s">
        <v>133</v>
      </c>
      <c r="AL264" s="20">
        <v>1000</v>
      </c>
      <c r="AM264" s="20"/>
      <c r="AN264" s="20" t="s">
        <v>509</v>
      </c>
      <c r="AO264" s="20"/>
      <c r="AP264" s="7"/>
      <c r="AQ264" s="7"/>
      <c r="AR264" s="7"/>
      <c r="AS264" s="7"/>
      <c r="AT264" s="7"/>
      <c r="AU264" s="7"/>
      <c r="AV264" s="7"/>
      <c r="AW264" s="39">
        <v>44701</v>
      </c>
      <c r="AX264" s="34">
        <v>657</v>
      </c>
      <c r="AY264" s="34"/>
      <c r="AZ264" s="34"/>
      <c r="BA264" s="38">
        <v>1000</v>
      </c>
      <c r="BB264" s="20"/>
      <c r="BD264" s="7"/>
      <c r="CS264" s="9">
        <f t="shared" si="20"/>
        <v>1000</v>
      </c>
      <c r="CT264" s="20">
        <f t="shared" si="21"/>
        <v>1000</v>
      </c>
      <c r="CU264" s="20">
        <f t="shared" si="22"/>
        <v>0</v>
      </c>
      <c r="CV264" s="24">
        <f t="shared" si="23"/>
        <v>0</v>
      </c>
    </row>
    <row r="265" spans="1:100" x14ac:dyDescent="0.2">
      <c r="A265" s="7" t="s">
        <v>110</v>
      </c>
      <c r="B265" s="1">
        <v>66</v>
      </c>
      <c r="C265" s="2" t="s">
        <v>36</v>
      </c>
      <c r="D265" s="2" t="s">
        <v>37</v>
      </c>
      <c r="E265" s="1" t="s">
        <v>18</v>
      </c>
      <c r="F265" s="1">
        <v>10</v>
      </c>
      <c r="G265" s="1" t="s">
        <v>22</v>
      </c>
      <c r="H265" s="1">
        <v>9</v>
      </c>
      <c r="I265" s="18">
        <v>125.04</v>
      </c>
      <c r="J265" s="18">
        <v>36900</v>
      </c>
      <c r="K265" s="2">
        <v>0</v>
      </c>
      <c r="L265" s="2" t="s">
        <v>3</v>
      </c>
      <c r="M265" s="8" t="s">
        <v>0</v>
      </c>
      <c r="N265" s="8" t="s">
        <v>8</v>
      </c>
      <c r="O265" s="7" t="s">
        <v>79</v>
      </c>
      <c r="P265" s="7" t="s">
        <v>0</v>
      </c>
      <c r="Q265" s="28" t="s">
        <v>80</v>
      </c>
      <c r="R265" s="7" t="s">
        <v>81</v>
      </c>
      <c r="S265" s="7" t="s">
        <v>109</v>
      </c>
      <c r="V265" s="8">
        <v>12.5</v>
      </c>
      <c r="W265" s="8" t="s">
        <v>196</v>
      </c>
      <c r="X265" s="15">
        <v>44696</v>
      </c>
      <c r="Y265" s="15">
        <v>44698</v>
      </c>
      <c r="Z265" s="17" t="s">
        <v>201</v>
      </c>
      <c r="AA265" s="118">
        <v>6000</v>
      </c>
      <c r="AB265" s="7">
        <v>12</v>
      </c>
      <c r="AC265" s="7">
        <v>1</v>
      </c>
      <c r="AD265" s="15">
        <v>44747</v>
      </c>
      <c r="AE265" s="50">
        <v>416.67</v>
      </c>
      <c r="AF265" s="50"/>
      <c r="AG265" s="7" t="s">
        <v>72</v>
      </c>
      <c r="AH265" s="87">
        <v>44748</v>
      </c>
      <c r="AI265" s="82" t="s">
        <v>8</v>
      </c>
      <c r="AJ265" s="20" t="s">
        <v>562</v>
      </c>
      <c r="AK265" s="20" t="s">
        <v>126</v>
      </c>
      <c r="AL265" s="20">
        <v>416.67</v>
      </c>
      <c r="AM265" s="20"/>
      <c r="AN265" s="20" t="s">
        <v>512</v>
      </c>
      <c r="AO265" s="20"/>
      <c r="AP265" s="7"/>
      <c r="AQ265" s="7"/>
      <c r="AR265" s="7"/>
      <c r="AS265" s="7"/>
      <c r="AT265" s="7"/>
      <c r="AU265" s="7"/>
      <c r="AV265" s="7"/>
      <c r="AW265" s="39">
        <v>45842</v>
      </c>
      <c r="AX265" s="34">
        <v>763</v>
      </c>
      <c r="AY265" s="34"/>
      <c r="AZ265" s="34"/>
      <c r="BA265" s="38">
        <v>416.67</v>
      </c>
      <c r="BB265" s="20"/>
      <c r="BD265" s="7"/>
      <c r="CS265" s="9">
        <f t="shared" si="20"/>
        <v>416.67</v>
      </c>
      <c r="CT265" s="20">
        <f t="shared" si="21"/>
        <v>416.67</v>
      </c>
      <c r="CU265" s="20">
        <f t="shared" si="22"/>
        <v>0</v>
      </c>
      <c r="CV265" s="24">
        <f t="shared" si="23"/>
        <v>0</v>
      </c>
    </row>
    <row r="266" spans="1:100" x14ac:dyDescent="0.2">
      <c r="A266" s="7" t="s">
        <v>110</v>
      </c>
      <c r="B266" s="1">
        <v>66</v>
      </c>
      <c r="C266" s="2" t="s">
        <v>36</v>
      </c>
      <c r="D266" s="2" t="s">
        <v>37</v>
      </c>
      <c r="E266" s="1" t="s">
        <v>18</v>
      </c>
      <c r="F266" s="1">
        <v>10</v>
      </c>
      <c r="G266" s="1" t="s">
        <v>22</v>
      </c>
      <c r="H266" s="1">
        <v>9</v>
      </c>
      <c r="I266" s="18">
        <v>125.04</v>
      </c>
      <c r="J266" s="18">
        <v>36900</v>
      </c>
      <c r="K266" s="2">
        <v>0</v>
      </c>
      <c r="L266" s="2" t="s">
        <v>3</v>
      </c>
      <c r="M266" s="8" t="s">
        <v>0</v>
      </c>
      <c r="N266" s="8" t="s">
        <v>8</v>
      </c>
      <c r="O266" s="7" t="s">
        <v>79</v>
      </c>
      <c r="P266" s="7" t="s">
        <v>0</v>
      </c>
      <c r="Q266" s="28" t="s">
        <v>80</v>
      </c>
      <c r="R266" s="7" t="s">
        <v>81</v>
      </c>
      <c r="S266" s="7" t="s">
        <v>109</v>
      </c>
      <c r="V266" s="8">
        <v>12.5</v>
      </c>
      <c r="W266" s="8" t="s">
        <v>196</v>
      </c>
      <c r="X266" s="15">
        <v>44696</v>
      </c>
      <c r="Y266" s="15">
        <v>44698</v>
      </c>
      <c r="Z266" s="17" t="s">
        <v>201</v>
      </c>
      <c r="AA266" s="118">
        <v>6000</v>
      </c>
      <c r="AB266" s="7">
        <v>12</v>
      </c>
      <c r="AC266" s="7">
        <v>2</v>
      </c>
      <c r="AD266" s="15">
        <v>44778</v>
      </c>
      <c r="AE266" s="50">
        <v>416.67</v>
      </c>
      <c r="AF266" s="50"/>
      <c r="AG266" s="7" t="s">
        <v>72</v>
      </c>
      <c r="AH266" s="87">
        <v>44764</v>
      </c>
      <c r="AI266" s="82" t="s">
        <v>8</v>
      </c>
      <c r="AJ266" s="20" t="s">
        <v>562</v>
      </c>
      <c r="AK266" s="20" t="s">
        <v>131</v>
      </c>
      <c r="AL266" s="20">
        <v>416.66</v>
      </c>
      <c r="AM266" s="20"/>
      <c r="AN266" s="20" t="s">
        <v>516</v>
      </c>
      <c r="AO266" s="20"/>
      <c r="AP266" s="7"/>
      <c r="AQ266" s="7"/>
      <c r="AR266" s="7"/>
      <c r="AS266" s="7"/>
      <c r="AT266" s="7"/>
      <c r="AU266" s="7"/>
      <c r="AV266" s="7"/>
      <c r="AW266" s="39">
        <v>44760</v>
      </c>
      <c r="AX266" s="34">
        <v>798</v>
      </c>
      <c r="AY266" s="34"/>
      <c r="AZ266" s="34"/>
      <c r="BA266" s="38">
        <v>416.66</v>
      </c>
      <c r="BB266" s="20"/>
      <c r="BD266" s="7"/>
      <c r="CS266" s="9">
        <f t="shared" si="20"/>
        <v>416.66</v>
      </c>
      <c r="CT266" s="20">
        <f t="shared" si="21"/>
        <v>416.66</v>
      </c>
      <c r="CU266" s="20">
        <f t="shared" si="22"/>
        <v>0</v>
      </c>
      <c r="CV266" s="24">
        <f t="shared" si="23"/>
        <v>9.9999999999909051E-3</v>
      </c>
    </row>
    <row r="267" spans="1:100" x14ac:dyDescent="0.2">
      <c r="A267" s="7" t="s">
        <v>110</v>
      </c>
      <c r="B267" s="1">
        <v>66</v>
      </c>
      <c r="C267" s="2" t="s">
        <v>36</v>
      </c>
      <c r="D267" s="2" t="s">
        <v>37</v>
      </c>
      <c r="E267" s="1" t="s">
        <v>18</v>
      </c>
      <c r="F267" s="1">
        <v>10</v>
      </c>
      <c r="G267" s="1" t="s">
        <v>22</v>
      </c>
      <c r="H267" s="1">
        <v>9</v>
      </c>
      <c r="I267" s="18">
        <v>125.04</v>
      </c>
      <c r="J267" s="18">
        <v>36900</v>
      </c>
      <c r="K267" s="2">
        <v>0</v>
      </c>
      <c r="L267" s="2" t="s">
        <v>3</v>
      </c>
      <c r="M267" s="8" t="s">
        <v>0</v>
      </c>
      <c r="N267" s="8" t="s">
        <v>8</v>
      </c>
      <c r="O267" s="7" t="s">
        <v>79</v>
      </c>
      <c r="P267" s="7" t="s">
        <v>0</v>
      </c>
      <c r="Q267" s="28" t="s">
        <v>80</v>
      </c>
      <c r="R267" s="7" t="s">
        <v>81</v>
      </c>
      <c r="S267" s="7" t="s">
        <v>109</v>
      </c>
      <c r="V267" s="8">
        <v>12.5</v>
      </c>
      <c r="W267" s="8" t="s">
        <v>196</v>
      </c>
      <c r="X267" s="15">
        <v>44696</v>
      </c>
      <c r="Y267" s="15">
        <v>44698</v>
      </c>
      <c r="Z267" s="17" t="s">
        <v>201</v>
      </c>
      <c r="AA267" s="118">
        <v>6000</v>
      </c>
      <c r="AB267" s="7">
        <v>12</v>
      </c>
      <c r="AC267" s="7">
        <v>3</v>
      </c>
      <c r="AD267" s="15">
        <v>44809</v>
      </c>
      <c r="AE267" s="50">
        <v>416.67</v>
      </c>
      <c r="AF267" s="50"/>
      <c r="AG267" s="7" t="s">
        <v>72</v>
      </c>
      <c r="AH267" s="87">
        <v>44810</v>
      </c>
      <c r="AI267" s="82" t="s">
        <v>8</v>
      </c>
      <c r="AJ267" s="20" t="s">
        <v>562</v>
      </c>
      <c r="AK267" s="20" t="s">
        <v>130</v>
      </c>
      <c r="AL267" s="20">
        <v>416.66</v>
      </c>
      <c r="AM267" s="20"/>
      <c r="AN267" s="20" t="s">
        <v>521</v>
      </c>
      <c r="AO267" s="20"/>
      <c r="AP267" s="7"/>
      <c r="AQ267" s="7"/>
      <c r="AR267" s="7"/>
      <c r="AS267" s="7"/>
      <c r="AT267" s="7"/>
      <c r="AU267" s="7"/>
      <c r="AV267" s="7"/>
      <c r="AW267" s="39">
        <v>44809</v>
      </c>
      <c r="AX267" s="34">
        <v>920</v>
      </c>
      <c r="AY267" s="34"/>
      <c r="AZ267" s="34"/>
      <c r="BA267" s="38">
        <v>416.66</v>
      </c>
      <c r="BB267" s="20"/>
      <c r="BD267" s="7"/>
      <c r="CS267" s="9">
        <f t="shared" si="20"/>
        <v>416.66</v>
      </c>
      <c r="CT267" s="20">
        <f t="shared" si="21"/>
        <v>416.66</v>
      </c>
      <c r="CU267" s="20">
        <f t="shared" si="22"/>
        <v>0</v>
      </c>
      <c r="CV267" s="24">
        <f t="shared" si="23"/>
        <v>9.9999999999909051E-3</v>
      </c>
    </row>
    <row r="268" spans="1:100" x14ac:dyDescent="0.2">
      <c r="A268" s="7" t="s">
        <v>110</v>
      </c>
      <c r="B268" s="1">
        <v>66</v>
      </c>
      <c r="C268" s="2" t="s">
        <v>36</v>
      </c>
      <c r="D268" s="2" t="s">
        <v>37</v>
      </c>
      <c r="E268" s="1" t="s">
        <v>18</v>
      </c>
      <c r="F268" s="1">
        <v>10</v>
      </c>
      <c r="G268" s="1" t="s">
        <v>22</v>
      </c>
      <c r="H268" s="1">
        <v>9</v>
      </c>
      <c r="I268" s="18">
        <v>125.04</v>
      </c>
      <c r="J268" s="18">
        <v>36900</v>
      </c>
      <c r="K268" s="2">
        <v>0</v>
      </c>
      <c r="L268" s="2" t="s">
        <v>3</v>
      </c>
      <c r="M268" s="8" t="s">
        <v>0</v>
      </c>
      <c r="N268" s="8" t="s">
        <v>8</v>
      </c>
      <c r="O268" s="7" t="s">
        <v>79</v>
      </c>
      <c r="P268" s="7" t="s">
        <v>0</v>
      </c>
      <c r="Q268" s="28" t="s">
        <v>80</v>
      </c>
      <c r="R268" s="7" t="s">
        <v>81</v>
      </c>
      <c r="S268" s="7" t="s">
        <v>109</v>
      </c>
      <c r="V268" s="8">
        <v>12.5</v>
      </c>
      <c r="W268" s="8" t="s">
        <v>196</v>
      </c>
      <c r="X268" s="15">
        <v>44696</v>
      </c>
      <c r="Y268" s="15">
        <v>44698</v>
      </c>
      <c r="Z268" s="17" t="s">
        <v>201</v>
      </c>
      <c r="AA268" s="118">
        <v>6000</v>
      </c>
      <c r="AB268" s="7">
        <v>12</v>
      </c>
      <c r="AC268" s="7">
        <v>4</v>
      </c>
      <c r="AD268" s="15">
        <v>44839</v>
      </c>
      <c r="AE268" s="50">
        <v>416.67</v>
      </c>
      <c r="AF268" s="50"/>
      <c r="AG268" s="7" t="s">
        <v>72</v>
      </c>
      <c r="AH268" s="87">
        <v>44874</v>
      </c>
      <c r="AI268" s="82" t="s">
        <v>8</v>
      </c>
      <c r="AJ268" s="20" t="s">
        <v>562</v>
      </c>
      <c r="AK268" s="20" t="s">
        <v>125</v>
      </c>
      <c r="AL268" s="20">
        <v>416.68</v>
      </c>
      <c r="AM268" s="20"/>
      <c r="AN268" s="20" t="s">
        <v>528</v>
      </c>
      <c r="AO268" s="20"/>
      <c r="AP268" s="7"/>
      <c r="AQ268" s="7"/>
      <c r="AR268" s="7"/>
      <c r="AS268" s="7"/>
      <c r="AT268" s="7"/>
      <c r="AU268" s="7"/>
      <c r="AV268" s="7"/>
      <c r="AW268" s="39">
        <v>44869</v>
      </c>
      <c r="AX268" s="34">
        <v>1056</v>
      </c>
      <c r="AY268" s="34"/>
      <c r="AZ268" s="34"/>
      <c r="BA268" s="38">
        <v>416.68</v>
      </c>
      <c r="BB268" s="20"/>
      <c r="BD268" s="7"/>
      <c r="CS268" s="9">
        <f t="shared" si="20"/>
        <v>416.68</v>
      </c>
      <c r="CT268" s="20">
        <f t="shared" si="21"/>
        <v>416.68</v>
      </c>
      <c r="CU268" s="20">
        <f t="shared" si="22"/>
        <v>0</v>
      </c>
      <c r="CV268" s="24">
        <f t="shared" si="23"/>
        <v>-9.9999999999909051E-3</v>
      </c>
    </row>
    <row r="269" spans="1:100" x14ac:dyDescent="0.2">
      <c r="A269" s="7" t="s">
        <v>110</v>
      </c>
      <c r="B269" s="1">
        <v>66</v>
      </c>
      <c r="C269" s="2" t="s">
        <v>36</v>
      </c>
      <c r="D269" s="2" t="s">
        <v>37</v>
      </c>
      <c r="E269" s="1" t="s">
        <v>18</v>
      </c>
      <c r="F269" s="1">
        <v>10</v>
      </c>
      <c r="G269" s="1" t="s">
        <v>22</v>
      </c>
      <c r="H269" s="1">
        <v>9</v>
      </c>
      <c r="I269" s="18">
        <v>125.04</v>
      </c>
      <c r="J269" s="18">
        <v>36900</v>
      </c>
      <c r="K269" s="2">
        <v>0</v>
      </c>
      <c r="L269" s="2" t="s">
        <v>3</v>
      </c>
      <c r="M269" s="8" t="s">
        <v>0</v>
      </c>
      <c r="N269" s="8" t="s">
        <v>8</v>
      </c>
      <c r="O269" s="7" t="s">
        <v>79</v>
      </c>
      <c r="P269" s="7" t="s">
        <v>0</v>
      </c>
      <c r="Q269" s="28" t="s">
        <v>80</v>
      </c>
      <c r="R269" s="7" t="s">
        <v>81</v>
      </c>
      <c r="S269" s="7" t="s">
        <v>109</v>
      </c>
      <c r="V269" s="8">
        <v>12.5</v>
      </c>
      <c r="W269" s="8" t="s">
        <v>196</v>
      </c>
      <c r="X269" s="15">
        <v>44696</v>
      </c>
      <c r="Y269" s="15">
        <v>44698</v>
      </c>
      <c r="Z269" s="17" t="s">
        <v>201</v>
      </c>
      <c r="AA269" s="118">
        <v>6000</v>
      </c>
      <c r="AB269" s="7">
        <v>12</v>
      </c>
      <c r="AC269" s="7">
        <v>5</v>
      </c>
      <c r="AD269" s="15">
        <v>44870</v>
      </c>
      <c r="AE269" s="50">
        <v>416.67</v>
      </c>
      <c r="AF269" s="50"/>
      <c r="AG269" s="7" t="s">
        <v>72</v>
      </c>
      <c r="AH269" s="87">
        <v>44882</v>
      </c>
      <c r="AI269" s="82" t="s">
        <v>8</v>
      </c>
      <c r="AJ269" s="20" t="s">
        <v>562</v>
      </c>
      <c r="AK269" s="20" t="s">
        <v>134</v>
      </c>
      <c r="AL269" s="20">
        <v>416.66</v>
      </c>
      <c r="AM269" s="20"/>
      <c r="AN269" s="20" t="s">
        <v>531</v>
      </c>
      <c r="AO269" s="20"/>
      <c r="AP269" s="7"/>
      <c r="AQ269" s="7"/>
      <c r="AR269" s="7"/>
      <c r="AS269" s="7"/>
      <c r="AT269" s="7"/>
      <c r="AU269" s="7"/>
      <c r="AV269" s="7"/>
      <c r="AW269" s="39">
        <v>44839</v>
      </c>
      <c r="AX269" s="34">
        <v>993</v>
      </c>
      <c r="AY269" s="34"/>
      <c r="AZ269" s="34"/>
      <c r="BA269" s="38">
        <v>416.66</v>
      </c>
      <c r="BB269" s="20"/>
      <c r="BD269" s="7"/>
      <c r="CS269" s="9">
        <f t="shared" si="20"/>
        <v>416.66</v>
      </c>
      <c r="CT269" s="20">
        <f t="shared" si="21"/>
        <v>416.66</v>
      </c>
      <c r="CU269" s="20">
        <f t="shared" si="22"/>
        <v>0</v>
      </c>
      <c r="CV269" s="24">
        <f t="shared" si="23"/>
        <v>9.9999999999909051E-3</v>
      </c>
    </row>
    <row r="270" spans="1:100" x14ac:dyDescent="0.2">
      <c r="A270" s="7" t="s">
        <v>110</v>
      </c>
      <c r="B270" s="1">
        <v>66</v>
      </c>
      <c r="C270" s="2" t="s">
        <v>36</v>
      </c>
      <c r="D270" s="2" t="s">
        <v>37</v>
      </c>
      <c r="E270" s="1" t="s">
        <v>18</v>
      </c>
      <c r="F270" s="1">
        <v>10</v>
      </c>
      <c r="G270" s="1" t="s">
        <v>22</v>
      </c>
      <c r="H270" s="1">
        <v>9</v>
      </c>
      <c r="I270" s="18">
        <v>125.04</v>
      </c>
      <c r="J270" s="18">
        <v>36900</v>
      </c>
      <c r="K270" s="2">
        <v>0</v>
      </c>
      <c r="L270" s="2" t="s">
        <v>3</v>
      </c>
      <c r="M270" s="8" t="s">
        <v>0</v>
      </c>
      <c r="N270" s="8" t="s">
        <v>8</v>
      </c>
      <c r="O270" s="7" t="s">
        <v>79</v>
      </c>
      <c r="P270" s="7" t="s">
        <v>0</v>
      </c>
      <c r="Q270" s="28" t="s">
        <v>80</v>
      </c>
      <c r="R270" s="7" t="s">
        <v>81</v>
      </c>
      <c r="S270" s="7" t="s">
        <v>109</v>
      </c>
      <c r="V270" s="8">
        <v>12.5</v>
      </c>
      <c r="W270" s="8" t="s">
        <v>196</v>
      </c>
      <c r="X270" s="15">
        <v>44696</v>
      </c>
      <c r="Y270" s="15">
        <v>44698</v>
      </c>
      <c r="Z270" s="17" t="s">
        <v>201</v>
      </c>
      <c r="AA270" s="118">
        <v>6000</v>
      </c>
      <c r="AB270" s="7">
        <v>12</v>
      </c>
      <c r="AC270" s="7">
        <v>6</v>
      </c>
      <c r="AD270" s="15">
        <v>44900</v>
      </c>
      <c r="AE270" s="50">
        <v>416.67</v>
      </c>
      <c r="AF270" s="50"/>
      <c r="AG270" s="7" t="s">
        <v>72</v>
      </c>
      <c r="AH270" s="87">
        <v>44909</v>
      </c>
      <c r="AI270" s="82" t="s">
        <v>8</v>
      </c>
      <c r="AJ270" s="20" t="s">
        <v>562</v>
      </c>
      <c r="AK270" s="20" t="s">
        <v>132</v>
      </c>
      <c r="AL270" s="20">
        <v>416.67</v>
      </c>
      <c r="AM270" s="20"/>
      <c r="AN270" s="20" t="s">
        <v>533</v>
      </c>
      <c r="AO270" s="20"/>
      <c r="AP270" s="7"/>
      <c r="AQ270" s="7"/>
      <c r="AR270" s="7"/>
      <c r="AS270" s="7"/>
      <c r="AT270" s="7"/>
      <c r="AU270" s="7"/>
      <c r="AV270" s="7"/>
      <c r="AW270" s="39">
        <v>44901</v>
      </c>
      <c r="AX270" s="34">
        <v>1094</v>
      </c>
      <c r="AY270" s="34"/>
      <c r="AZ270" s="34"/>
      <c r="BA270" s="38">
        <v>416.67</v>
      </c>
      <c r="BB270" s="20"/>
      <c r="BD270" s="7"/>
      <c r="CS270" s="9">
        <f t="shared" si="20"/>
        <v>416.67</v>
      </c>
      <c r="CT270" s="20">
        <f t="shared" si="21"/>
        <v>416.67</v>
      </c>
      <c r="CU270" s="20">
        <f t="shared" si="22"/>
        <v>0</v>
      </c>
      <c r="CV270" s="24">
        <f t="shared" si="23"/>
        <v>0</v>
      </c>
    </row>
    <row r="271" spans="1:100" x14ac:dyDescent="0.2">
      <c r="A271" s="7" t="s">
        <v>110</v>
      </c>
      <c r="B271" s="1">
        <v>66</v>
      </c>
      <c r="C271" s="2" t="s">
        <v>36</v>
      </c>
      <c r="D271" s="2" t="s">
        <v>37</v>
      </c>
      <c r="E271" s="1" t="s">
        <v>18</v>
      </c>
      <c r="F271" s="1">
        <v>10</v>
      </c>
      <c r="G271" s="1" t="s">
        <v>22</v>
      </c>
      <c r="H271" s="1">
        <v>9</v>
      </c>
      <c r="I271" s="18">
        <v>125.04</v>
      </c>
      <c r="J271" s="18">
        <v>36900</v>
      </c>
      <c r="K271" s="2">
        <v>0</v>
      </c>
      <c r="L271" s="2" t="s">
        <v>3</v>
      </c>
      <c r="M271" s="8" t="s">
        <v>0</v>
      </c>
      <c r="N271" s="8" t="s">
        <v>8</v>
      </c>
      <c r="O271" s="7" t="s">
        <v>79</v>
      </c>
      <c r="P271" s="7" t="s">
        <v>0</v>
      </c>
      <c r="Q271" s="28" t="s">
        <v>80</v>
      </c>
      <c r="R271" s="7" t="s">
        <v>81</v>
      </c>
      <c r="S271" s="7" t="s">
        <v>109</v>
      </c>
      <c r="V271" s="8">
        <v>12.5</v>
      </c>
      <c r="W271" s="8" t="s">
        <v>196</v>
      </c>
      <c r="X271" s="15">
        <v>44696</v>
      </c>
      <c r="Y271" s="15">
        <v>44698</v>
      </c>
      <c r="Z271" s="17" t="s">
        <v>201</v>
      </c>
      <c r="AA271" s="118">
        <v>6000</v>
      </c>
      <c r="AB271" s="7">
        <v>12</v>
      </c>
      <c r="AC271" s="7">
        <v>7</v>
      </c>
      <c r="AD271" s="15">
        <v>44931</v>
      </c>
      <c r="AE271" s="50">
        <v>416.67</v>
      </c>
      <c r="AF271" s="50"/>
      <c r="AG271" s="7" t="s">
        <v>72</v>
      </c>
      <c r="AH271" s="87">
        <v>44938</v>
      </c>
      <c r="AI271" s="82" t="s">
        <v>8</v>
      </c>
      <c r="AJ271" s="20" t="s">
        <v>562</v>
      </c>
      <c r="AK271" s="20" t="s">
        <v>127</v>
      </c>
      <c r="AL271" s="20">
        <v>416.67</v>
      </c>
      <c r="AM271" s="20"/>
      <c r="AN271" s="20" t="s">
        <v>538</v>
      </c>
      <c r="AO271" s="20"/>
      <c r="AP271" s="7"/>
      <c r="AQ271" s="7"/>
      <c r="AR271" s="7"/>
      <c r="AS271" s="7"/>
      <c r="AT271" s="7"/>
      <c r="AU271" s="7"/>
      <c r="AV271" s="7"/>
      <c r="AW271" s="39">
        <v>44937</v>
      </c>
      <c r="AX271" s="34">
        <v>1143</v>
      </c>
      <c r="AY271" s="34"/>
      <c r="AZ271" s="34"/>
      <c r="BA271" s="38">
        <v>416.67</v>
      </c>
      <c r="BB271" s="20"/>
      <c r="BD271" s="7"/>
      <c r="CS271" s="9">
        <f t="shared" si="20"/>
        <v>416.67</v>
      </c>
      <c r="CT271" s="20">
        <f t="shared" si="21"/>
        <v>416.67</v>
      </c>
      <c r="CU271" s="20">
        <f t="shared" si="22"/>
        <v>0</v>
      </c>
      <c r="CV271" s="24">
        <f t="shared" si="23"/>
        <v>0</v>
      </c>
    </row>
    <row r="272" spans="1:100" x14ac:dyDescent="0.2">
      <c r="A272" s="7" t="s">
        <v>110</v>
      </c>
      <c r="B272" s="1">
        <v>66</v>
      </c>
      <c r="C272" s="2" t="s">
        <v>36</v>
      </c>
      <c r="D272" s="2" t="s">
        <v>37</v>
      </c>
      <c r="E272" s="1" t="s">
        <v>18</v>
      </c>
      <c r="F272" s="1">
        <v>10</v>
      </c>
      <c r="G272" s="1" t="s">
        <v>22</v>
      </c>
      <c r="H272" s="1">
        <v>9</v>
      </c>
      <c r="I272" s="18">
        <v>125.04</v>
      </c>
      <c r="J272" s="18">
        <v>36900</v>
      </c>
      <c r="K272" s="2">
        <v>0</v>
      </c>
      <c r="L272" s="2" t="s">
        <v>3</v>
      </c>
      <c r="M272" s="8" t="s">
        <v>0</v>
      </c>
      <c r="N272" s="8" t="s">
        <v>8</v>
      </c>
      <c r="O272" s="7" t="s">
        <v>79</v>
      </c>
      <c r="P272" s="7" t="s">
        <v>0</v>
      </c>
      <c r="Q272" s="28" t="s">
        <v>80</v>
      </c>
      <c r="R272" s="7" t="s">
        <v>81</v>
      </c>
      <c r="S272" s="7" t="s">
        <v>109</v>
      </c>
      <c r="V272" s="8">
        <v>12.5</v>
      </c>
      <c r="W272" s="8" t="s">
        <v>196</v>
      </c>
      <c r="X272" s="15">
        <v>44696</v>
      </c>
      <c r="Y272" s="15">
        <v>44698</v>
      </c>
      <c r="Z272" s="17" t="s">
        <v>201</v>
      </c>
      <c r="AA272" s="118">
        <v>6000</v>
      </c>
      <c r="AB272" s="7">
        <v>12</v>
      </c>
      <c r="AC272" s="7">
        <v>8</v>
      </c>
      <c r="AD272" s="15">
        <v>44962</v>
      </c>
      <c r="AE272" s="50">
        <v>416.67</v>
      </c>
      <c r="AF272" s="50"/>
      <c r="AG272" s="7" t="s">
        <v>72</v>
      </c>
      <c r="AH272" s="87">
        <v>44961</v>
      </c>
      <c r="AI272" s="82" t="s">
        <v>8</v>
      </c>
      <c r="AJ272" s="20" t="s">
        <v>562</v>
      </c>
      <c r="AK272" s="20" t="s">
        <v>128</v>
      </c>
      <c r="AL272" s="20">
        <v>416.67</v>
      </c>
      <c r="AM272" s="20"/>
      <c r="AN272" s="20" t="s">
        <v>543</v>
      </c>
      <c r="AO272" s="20"/>
      <c r="AP272" s="7"/>
      <c r="AQ272" s="7"/>
      <c r="AR272" s="7"/>
      <c r="AS272" s="7"/>
      <c r="AT272" s="7"/>
      <c r="AU272" s="7"/>
      <c r="AV272" s="7"/>
      <c r="AW272" s="101">
        <v>44959</v>
      </c>
      <c r="AX272" s="102">
        <v>1202</v>
      </c>
      <c r="AY272" s="102"/>
      <c r="AZ272" s="102"/>
      <c r="BA272" s="38">
        <v>416.67</v>
      </c>
      <c r="BB272" s="20"/>
      <c r="BD272" s="7"/>
      <c r="CS272" s="9">
        <f t="shared" si="20"/>
        <v>416.67</v>
      </c>
      <c r="CT272" s="20">
        <f t="shared" si="21"/>
        <v>416.67</v>
      </c>
      <c r="CU272" s="20">
        <f t="shared" si="22"/>
        <v>0</v>
      </c>
      <c r="CV272" s="24">
        <f t="shared" si="23"/>
        <v>0</v>
      </c>
    </row>
    <row r="273" spans="1:100" x14ac:dyDescent="0.2">
      <c r="A273" s="7" t="s">
        <v>110</v>
      </c>
      <c r="B273" s="1">
        <v>66</v>
      </c>
      <c r="C273" s="2" t="s">
        <v>36</v>
      </c>
      <c r="D273" s="2" t="s">
        <v>37</v>
      </c>
      <c r="E273" s="1" t="s">
        <v>18</v>
      </c>
      <c r="F273" s="1">
        <v>10</v>
      </c>
      <c r="G273" s="1" t="s">
        <v>22</v>
      </c>
      <c r="H273" s="1">
        <v>9</v>
      </c>
      <c r="I273" s="18">
        <v>125.04</v>
      </c>
      <c r="J273" s="18">
        <v>36900</v>
      </c>
      <c r="K273" s="2">
        <v>0</v>
      </c>
      <c r="L273" s="2" t="s">
        <v>3</v>
      </c>
      <c r="M273" s="8" t="s">
        <v>0</v>
      </c>
      <c r="N273" s="8" t="s">
        <v>8</v>
      </c>
      <c r="O273" s="7" t="s">
        <v>79</v>
      </c>
      <c r="P273" s="7" t="s">
        <v>0</v>
      </c>
      <c r="Q273" s="28" t="s">
        <v>80</v>
      </c>
      <c r="R273" s="7" t="s">
        <v>81</v>
      </c>
      <c r="S273" s="7" t="s">
        <v>109</v>
      </c>
      <c r="V273" s="8">
        <v>12.5</v>
      </c>
      <c r="W273" s="8" t="s">
        <v>196</v>
      </c>
      <c r="X273" s="15">
        <v>44696</v>
      </c>
      <c r="Y273" s="15">
        <v>44698</v>
      </c>
      <c r="Z273" s="17" t="s">
        <v>201</v>
      </c>
      <c r="AA273" s="118">
        <v>6000</v>
      </c>
      <c r="AB273" s="7">
        <v>12</v>
      </c>
      <c r="AC273" s="7">
        <v>9</v>
      </c>
      <c r="AD273" s="15">
        <v>44990</v>
      </c>
      <c r="AE273" s="50">
        <v>416.67</v>
      </c>
      <c r="AF273" s="50"/>
      <c r="AG273" s="7" t="s">
        <v>72</v>
      </c>
      <c r="AH273" s="87">
        <v>44996</v>
      </c>
      <c r="AI273" s="82" t="s">
        <v>8</v>
      </c>
      <c r="AJ273" s="20" t="s">
        <v>562</v>
      </c>
      <c r="AK273" s="20" t="s">
        <v>129</v>
      </c>
      <c r="AL273" s="20">
        <v>416.67</v>
      </c>
      <c r="AM273" s="20"/>
      <c r="AN273" s="20" t="s">
        <v>545</v>
      </c>
      <c r="AO273" s="20"/>
      <c r="AP273" s="7"/>
      <c r="AQ273" s="7"/>
      <c r="AR273" s="7"/>
      <c r="AS273" s="7"/>
      <c r="AT273" s="7"/>
      <c r="AU273" s="7"/>
      <c r="AV273" s="7"/>
      <c r="AW273" s="39">
        <v>44995</v>
      </c>
      <c r="AX273" s="34">
        <v>1311</v>
      </c>
      <c r="AY273" s="34"/>
      <c r="AZ273" s="34"/>
      <c r="BA273" s="38">
        <v>416.67</v>
      </c>
      <c r="BB273" s="20"/>
      <c r="BD273" s="7"/>
      <c r="CS273" s="9">
        <f t="shared" si="20"/>
        <v>416.67</v>
      </c>
      <c r="CT273" s="20">
        <f t="shared" si="21"/>
        <v>416.67</v>
      </c>
      <c r="CU273" s="20">
        <f t="shared" si="22"/>
        <v>0</v>
      </c>
      <c r="CV273" s="24">
        <f t="shared" si="23"/>
        <v>0</v>
      </c>
    </row>
    <row r="274" spans="1:100" x14ac:dyDescent="0.2">
      <c r="A274" s="7" t="s">
        <v>110</v>
      </c>
      <c r="B274" s="1">
        <v>66</v>
      </c>
      <c r="C274" s="2" t="s">
        <v>36</v>
      </c>
      <c r="D274" s="2" t="s">
        <v>37</v>
      </c>
      <c r="E274" s="1" t="s">
        <v>18</v>
      </c>
      <c r="F274" s="1">
        <v>10</v>
      </c>
      <c r="G274" s="1" t="s">
        <v>22</v>
      </c>
      <c r="H274" s="1">
        <v>9</v>
      </c>
      <c r="I274" s="18">
        <v>125.04</v>
      </c>
      <c r="J274" s="18">
        <v>36900</v>
      </c>
      <c r="K274" s="2">
        <v>0</v>
      </c>
      <c r="L274" s="2" t="s">
        <v>3</v>
      </c>
      <c r="M274" s="8" t="s">
        <v>0</v>
      </c>
      <c r="N274" s="8" t="s">
        <v>8</v>
      </c>
      <c r="O274" s="7" t="s">
        <v>79</v>
      </c>
      <c r="P274" s="7" t="s">
        <v>0</v>
      </c>
      <c r="Q274" s="28" t="s">
        <v>80</v>
      </c>
      <c r="R274" s="7" t="s">
        <v>81</v>
      </c>
      <c r="S274" s="7" t="s">
        <v>109</v>
      </c>
      <c r="V274" s="8">
        <v>12.5</v>
      </c>
      <c r="W274" s="8" t="s">
        <v>196</v>
      </c>
      <c r="X274" s="15">
        <v>44696</v>
      </c>
      <c r="Y274" s="15">
        <v>44698</v>
      </c>
      <c r="Z274" s="17" t="s">
        <v>201</v>
      </c>
      <c r="AA274" s="118">
        <v>6000</v>
      </c>
      <c r="AB274" s="7">
        <v>12</v>
      </c>
      <c r="AC274" s="7">
        <v>10</v>
      </c>
      <c r="AD274" s="15">
        <v>45021</v>
      </c>
      <c r="AE274" s="50">
        <v>416.67</v>
      </c>
      <c r="AF274" s="50"/>
      <c r="AG274" s="7" t="s">
        <v>72</v>
      </c>
      <c r="AH274" s="87">
        <v>45029</v>
      </c>
      <c r="AI274" s="82" t="s">
        <v>8</v>
      </c>
      <c r="AJ274" s="20" t="s">
        <v>562</v>
      </c>
      <c r="AK274" s="20" t="s">
        <v>560</v>
      </c>
      <c r="AL274" s="20">
        <v>416.67</v>
      </c>
      <c r="AM274" s="20"/>
      <c r="AN274" s="20" t="s">
        <v>550</v>
      </c>
      <c r="AO274" s="20"/>
      <c r="AP274" s="7"/>
      <c r="AQ274" s="7"/>
      <c r="AR274" s="7"/>
      <c r="AS274" s="7"/>
      <c r="AT274" s="7"/>
      <c r="AU274" s="7"/>
      <c r="AV274" s="7"/>
      <c r="AW274" s="39">
        <v>45027</v>
      </c>
      <c r="AX274" s="34">
        <v>1395</v>
      </c>
      <c r="AY274" s="34"/>
      <c r="AZ274" s="34"/>
      <c r="BA274" s="38">
        <v>416.67</v>
      </c>
      <c r="BB274" s="20"/>
      <c r="BD274" s="7"/>
      <c r="CS274" s="9">
        <f t="shared" si="20"/>
        <v>416.67</v>
      </c>
      <c r="CT274" s="20">
        <f t="shared" si="21"/>
        <v>416.67</v>
      </c>
      <c r="CU274" s="20">
        <f t="shared" si="22"/>
        <v>0</v>
      </c>
      <c r="CV274" s="24">
        <f t="shared" si="23"/>
        <v>0</v>
      </c>
    </row>
    <row r="275" spans="1:100" x14ac:dyDescent="0.2">
      <c r="A275" s="7" t="s">
        <v>110</v>
      </c>
      <c r="B275" s="1">
        <v>66</v>
      </c>
      <c r="C275" s="2" t="s">
        <v>36</v>
      </c>
      <c r="D275" s="2" t="s">
        <v>37</v>
      </c>
      <c r="E275" s="1" t="s">
        <v>18</v>
      </c>
      <c r="F275" s="1">
        <v>10</v>
      </c>
      <c r="G275" s="1" t="s">
        <v>22</v>
      </c>
      <c r="H275" s="1">
        <v>9</v>
      </c>
      <c r="I275" s="18">
        <v>125.04</v>
      </c>
      <c r="J275" s="18">
        <v>36900</v>
      </c>
      <c r="K275" s="2">
        <v>0</v>
      </c>
      <c r="L275" s="2" t="s">
        <v>3</v>
      </c>
      <c r="M275" s="8" t="s">
        <v>0</v>
      </c>
      <c r="N275" s="8" t="s">
        <v>8</v>
      </c>
      <c r="O275" s="7" t="s">
        <v>79</v>
      </c>
      <c r="P275" s="7" t="s">
        <v>0</v>
      </c>
      <c r="Q275" s="28" t="s">
        <v>80</v>
      </c>
      <c r="R275" s="7" t="s">
        <v>81</v>
      </c>
      <c r="S275" s="7" t="s">
        <v>109</v>
      </c>
      <c r="V275" s="8">
        <v>12.5</v>
      </c>
      <c r="W275" s="8" t="s">
        <v>196</v>
      </c>
      <c r="X275" s="15">
        <v>44696</v>
      </c>
      <c r="Y275" s="15">
        <v>44698</v>
      </c>
      <c r="Z275" s="17" t="s">
        <v>201</v>
      </c>
      <c r="AA275" s="118">
        <v>6000</v>
      </c>
      <c r="AB275" s="7">
        <v>12</v>
      </c>
      <c r="AC275" s="7">
        <v>11</v>
      </c>
      <c r="AD275" s="15">
        <v>45051</v>
      </c>
      <c r="AE275" s="50">
        <v>416.67</v>
      </c>
      <c r="AF275" s="50"/>
      <c r="AG275" s="7" t="s">
        <v>72</v>
      </c>
      <c r="AH275" s="87">
        <v>45055</v>
      </c>
      <c r="AI275" s="82" t="s">
        <v>8</v>
      </c>
      <c r="AJ275" s="20" t="s">
        <v>562</v>
      </c>
      <c r="AK275" s="20" t="s">
        <v>561</v>
      </c>
      <c r="AL275" s="20">
        <v>416.67</v>
      </c>
      <c r="AM275" s="20"/>
      <c r="AN275" s="20" t="s">
        <v>555</v>
      </c>
      <c r="AO275" s="20"/>
      <c r="AP275" s="7"/>
      <c r="AQ275" s="7"/>
      <c r="AR275" s="7"/>
      <c r="AS275" s="7"/>
      <c r="AT275" s="7"/>
      <c r="AU275" s="7"/>
      <c r="AV275" s="7"/>
      <c r="AW275" s="39">
        <v>45050</v>
      </c>
      <c r="AX275" s="34">
        <v>1482</v>
      </c>
      <c r="AY275" s="34"/>
      <c r="AZ275" s="34"/>
      <c r="BA275" s="38">
        <v>416.67</v>
      </c>
      <c r="BB275" s="20"/>
      <c r="BD275" s="7"/>
      <c r="CS275" s="9">
        <f t="shared" si="20"/>
        <v>416.67</v>
      </c>
      <c r="CT275" s="20">
        <f t="shared" si="21"/>
        <v>416.67</v>
      </c>
      <c r="CU275" s="20">
        <f t="shared" si="22"/>
        <v>0</v>
      </c>
      <c r="CV275" s="24">
        <f t="shared" si="23"/>
        <v>0</v>
      </c>
    </row>
    <row r="276" spans="1:100" x14ac:dyDescent="0.2">
      <c r="A276" s="7" t="s">
        <v>110</v>
      </c>
      <c r="B276" s="1">
        <v>66</v>
      </c>
      <c r="C276" s="2" t="s">
        <v>36</v>
      </c>
      <c r="D276" s="2" t="s">
        <v>37</v>
      </c>
      <c r="E276" s="1" t="s">
        <v>18</v>
      </c>
      <c r="F276" s="1">
        <v>10</v>
      </c>
      <c r="G276" s="1" t="s">
        <v>22</v>
      </c>
      <c r="H276" s="1">
        <v>9</v>
      </c>
      <c r="I276" s="18">
        <v>125.04</v>
      </c>
      <c r="J276" s="18">
        <v>36900</v>
      </c>
      <c r="K276" s="2">
        <v>0</v>
      </c>
      <c r="L276" s="2" t="s">
        <v>3</v>
      </c>
      <c r="M276" s="8" t="s">
        <v>0</v>
      </c>
      <c r="N276" s="8" t="s">
        <v>8</v>
      </c>
      <c r="O276" s="7" t="s">
        <v>79</v>
      </c>
      <c r="P276" s="7" t="s">
        <v>0</v>
      </c>
      <c r="Q276" s="28" t="s">
        <v>80</v>
      </c>
      <c r="R276" s="7" t="s">
        <v>81</v>
      </c>
      <c r="S276" s="7" t="s">
        <v>109</v>
      </c>
      <c r="V276" s="8">
        <v>12.5</v>
      </c>
      <c r="W276" s="8" t="s">
        <v>196</v>
      </c>
      <c r="X276" s="15">
        <v>44696</v>
      </c>
      <c r="Y276" s="15">
        <v>44698</v>
      </c>
      <c r="Z276" s="17" t="s">
        <v>201</v>
      </c>
      <c r="AA276" s="118">
        <v>6000</v>
      </c>
      <c r="AB276" s="7">
        <v>12</v>
      </c>
      <c r="AC276" s="7">
        <v>12</v>
      </c>
      <c r="AD276" s="15">
        <v>45082</v>
      </c>
      <c r="AE276" s="50">
        <v>416.67</v>
      </c>
      <c r="AF276" s="50"/>
      <c r="AG276" s="7" t="s">
        <v>72</v>
      </c>
      <c r="AH276" s="87">
        <v>45086</v>
      </c>
      <c r="AI276" s="82" t="s">
        <v>8</v>
      </c>
      <c r="AJ276" s="20" t="s">
        <v>562</v>
      </c>
      <c r="AK276" s="20" t="s">
        <v>135</v>
      </c>
      <c r="AL276" s="20">
        <v>416.67</v>
      </c>
      <c r="AM276" s="20"/>
      <c r="AN276" s="20" t="s">
        <v>559</v>
      </c>
      <c r="AO276" s="20"/>
      <c r="AP276" s="20"/>
      <c r="AQ276" s="20"/>
      <c r="AR276" s="20"/>
      <c r="AS276" s="20"/>
      <c r="AT276" s="20"/>
      <c r="AU276" s="20"/>
      <c r="AV276" s="20"/>
      <c r="AW276" s="39">
        <v>45084</v>
      </c>
      <c r="AX276" s="37">
        <v>1606</v>
      </c>
      <c r="AY276" s="34"/>
      <c r="AZ276" s="34"/>
      <c r="BA276" s="38">
        <v>416.67</v>
      </c>
      <c r="BB276" s="20"/>
      <c r="BD276" s="7"/>
      <c r="CS276" s="9">
        <f t="shared" si="20"/>
        <v>416.67</v>
      </c>
      <c r="CT276" s="20">
        <f t="shared" si="21"/>
        <v>416.67</v>
      </c>
      <c r="CU276" s="20">
        <f t="shared" si="22"/>
        <v>0</v>
      </c>
      <c r="CV276" s="24">
        <f t="shared" si="23"/>
        <v>0</v>
      </c>
    </row>
    <row r="277" spans="1:100" x14ac:dyDescent="0.2">
      <c r="A277" s="7" t="s">
        <v>137</v>
      </c>
      <c r="B277" s="1">
        <v>137</v>
      </c>
      <c r="C277" s="2" t="s">
        <v>36</v>
      </c>
      <c r="D277" s="36" t="s">
        <v>37</v>
      </c>
      <c r="E277" s="35"/>
      <c r="F277" s="35"/>
      <c r="G277" s="1" t="s">
        <v>26</v>
      </c>
      <c r="H277" s="1">
        <v>7</v>
      </c>
      <c r="I277" s="18">
        <v>135.15</v>
      </c>
      <c r="J277" s="18">
        <v>41900</v>
      </c>
      <c r="K277" s="2">
        <v>0</v>
      </c>
      <c r="L277" s="2" t="s">
        <v>3</v>
      </c>
      <c r="M277" s="8" t="s">
        <v>0</v>
      </c>
      <c r="N277" s="8" t="s">
        <v>9</v>
      </c>
      <c r="O277" s="7" t="s">
        <v>138</v>
      </c>
      <c r="P277" s="7" t="s">
        <v>0</v>
      </c>
      <c r="Q277" s="28" t="s">
        <v>139</v>
      </c>
      <c r="R277" s="7" t="s">
        <v>140</v>
      </c>
      <c r="S277" s="7" t="s">
        <v>96</v>
      </c>
      <c r="V277" s="8">
        <v>135.15</v>
      </c>
      <c r="W277" s="8"/>
      <c r="X277" s="15">
        <v>44954</v>
      </c>
      <c r="Y277" s="15">
        <v>44954</v>
      </c>
      <c r="Z277" s="17" t="s">
        <v>201</v>
      </c>
      <c r="AA277" s="118">
        <v>41000</v>
      </c>
      <c r="AB277" s="7">
        <v>33</v>
      </c>
      <c r="AC277" s="7">
        <v>0</v>
      </c>
      <c r="AD277" s="15">
        <v>44898</v>
      </c>
      <c r="AE277" s="50">
        <v>3389.83</v>
      </c>
      <c r="AF277" s="50"/>
      <c r="AG277" s="7" t="s">
        <v>72</v>
      </c>
      <c r="AH277" s="87">
        <v>45061</v>
      </c>
      <c r="AI277" s="82">
        <v>9499094</v>
      </c>
      <c r="AJ277" s="20" t="s">
        <v>447</v>
      </c>
      <c r="AK277" s="20" t="s">
        <v>153</v>
      </c>
      <c r="AL277" s="20">
        <v>3389.83</v>
      </c>
      <c r="AM277" s="20"/>
      <c r="AN277" s="20" t="s">
        <v>432</v>
      </c>
      <c r="AO277" s="20"/>
      <c r="AP277" s="7"/>
      <c r="AQ277" s="7"/>
      <c r="AR277" s="7"/>
      <c r="AS277" s="7"/>
      <c r="AT277" s="7"/>
      <c r="AU277" s="7"/>
      <c r="AV277" s="7"/>
      <c r="AW277" s="15">
        <v>45061</v>
      </c>
      <c r="AX277" s="28" t="s">
        <v>154</v>
      </c>
      <c r="AY277" s="7">
        <v>13000</v>
      </c>
      <c r="AZ277" s="7">
        <v>3.835</v>
      </c>
      <c r="BA277" s="20">
        <f>+AY277/AZ277</f>
        <v>3389.8305084745762</v>
      </c>
      <c r="BB277" s="20" t="s">
        <v>488</v>
      </c>
      <c r="BD277" s="7"/>
      <c r="CS277" s="9">
        <f t="shared" si="20"/>
        <v>3389.83</v>
      </c>
      <c r="CT277" s="20">
        <f t="shared" si="21"/>
        <v>3389.8305084745762</v>
      </c>
      <c r="CU277" s="20">
        <f t="shared" si="22"/>
        <v>-5.0847457623603987E-4</v>
      </c>
      <c r="CV277" s="24">
        <f t="shared" si="23"/>
        <v>0</v>
      </c>
    </row>
    <row r="278" spans="1:100" x14ac:dyDescent="0.2">
      <c r="A278" s="7" t="s">
        <v>137</v>
      </c>
      <c r="B278" s="1">
        <v>137</v>
      </c>
      <c r="C278" s="2" t="s">
        <v>36</v>
      </c>
      <c r="D278" s="36" t="s">
        <v>37</v>
      </c>
      <c r="E278" s="35"/>
      <c r="F278" s="35"/>
      <c r="G278" s="1" t="s">
        <v>26</v>
      </c>
      <c r="H278" s="1">
        <v>7</v>
      </c>
      <c r="I278" s="18">
        <v>135.15</v>
      </c>
      <c r="J278" s="18">
        <v>41900</v>
      </c>
      <c r="K278" s="2">
        <v>0</v>
      </c>
      <c r="L278" s="2" t="s">
        <v>3</v>
      </c>
      <c r="M278" s="8" t="s">
        <v>0</v>
      </c>
      <c r="N278" s="8" t="s">
        <v>9</v>
      </c>
      <c r="O278" s="7" t="s">
        <v>138</v>
      </c>
      <c r="P278" s="7" t="s">
        <v>0</v>
      </c>
      <c r="Q278" s="28" t="s">
        <v>139</v>
      </c>
      <c r="R278" s="7" t="s">
        <v>140</v>
      </c>
      <c r="S278" s="7" t="s">
        <v>96</v>
      </c>
      <c r="V278" s="8">
        <v>135.15</v>
      </c>
      <c r="W278" s="8"/>
      <c r="X278" s="15">
        <v>44954</v>
      </c>
      <c r="Y278" s="15">
        <v>44954</v>
      </c>
      <c r="Z278" s="17" t="s">
        <v>201</v>
      </c>
      <c r="AA278" s="118">
        <v>41000</v>
      </c>
      <c r="AB278" s="7">
        <v>33</v>
      </c>
      <c r="AC278" s="7">
        <v>0</v>
      </c>
      <c r="AD278" s="15">
        <v>44954</v>
      </c>
      <c r="AE278" s="50">
        <v>1000</v>
      </c>
      <c r="AF278" s="50"/>
      <c r="AG278" s="7" t="s">
        <v>72</v>
      </c>
      <c r="AH278" s="87">
        <v>44954</v>
      </c>
      <c r="AI278" s="82">
        <v>9499094</v>
      </c>
      <c r="AJ278" s="20" t="s">
        <v>447</v>
      </c>
      <c r="AK278" s="20" t="s">
        <v>143</v>
      </c>
      <c r="AL278" s="20">
        <v>1000</v>
      </c>
      <c r="AM278" s="20"/>
      <c r="AN278" s="20" t="s">
        <v>429</v>
      </c>
      <c r="AO278" s="20"/>
      <c r="AP278" s="7"/>
      <c r="AQ278" s="7"/>
      <c r="AR278" s="7"/>
      <c r="AS278" s="7"/>
      <c r="AT278" s="7"/>
      <c r="AU278" s="7"/>
      <c r="AV278" s="7"/>
      <c r="AW278" s="15">
        <v>44956</v>
      </c>
      <c r="AX278" s="28" t="s">
        <v>489</v>
      </c>
      <c r="AY278" s="7">
        <v>3810</v>
      </c>
      <c r="AZ278" s="7">
        <v>3.81</v>
      </c>
      <c r="BA278" s="20">
        <f>+AY278/AZ278</f>
        <v>1000</v>
      </c>
      <c r="BB278" s="20"/>
      <c r="BD278" s="7"/>
      <c r="CS278" s="9">
        <f t="shared" si="20"/>
        <v>1000</v>
      </c>
      <c r="CT278" s="20">
        <f t="shared" si="21"/>
        <v>1000</v>
      </c>
      <c r="CU278" s="20">
        <f t="shared" si="22"/>
        <v>0</v>
      </c>
      <c r="CV278" s="24">
        <f t="shared" si="23"/>
        <v>0</v>
      </c>
    </row>
    <row r="279" spans="1:100" x14ac:dyDescent="0.2">
      <c r="A279" s="7" t="s">
        <v>137</v>
      </c>
      <c r="B279" s="1">
        <v>137</v>
      </c>
      <c r="C279" s="2" t="s">
        <v>36</v>
      </c>
      <c r="D279" s="36" t="s">
        <v>37</v>
      </c>
      <c r="E279" s="35"/>
      <c r="F279" s="35"/>
      <c r="G279" s="1" t="s">
        <v>26</v>
      </c>
      <c r="H279" s="1">
        <v>7</v>
      </c>
      <c r="I279" s="18">
        <v>135.15</v>
      </c>
      <c r="J279" s="18">
        <v>41900</v>
      </c>
      <c r="K279" s="2">
        <v>0</v>
      </c>
      <c r="L279" s="2" t="s">
        <v>3</v>
      </c>
      <c r="M279" s="8" t="s">
        <v>0</v>
      </c>
      <c r="N279" s="8" t="s">
        <v>9</v>
      </c>
      <c r="O279" s="7" t="s">
        <v>138</v>
      </c>
      <c r="P279" s="7" t="s">
        <v>0</v>
      </c>
      <c r="Q279" s="28" t="s">
        <v>139</v>
      </c>
      <c r="R279" s="7" t="s">
        <v>140</v>
      </c>
      <c r="S279" s="7" t="s">
        <v>96</v>
      </c>
      <c r="V279" s="8">
        <v>135.15</v>
      </c>
      <c r="W279" s="8"/>
      <c r="X279" s="15">
        <v>44954</v>
      </c>
      <c r="Y279" s="15">
        <v>44954</v>
      </c>
      <c r="Z279" s="17" t="s">
        <v>201</v>
      </c>
      <c r="AA279" s="118">
        <v>41000</v>
      </c>
      <c r="AB279" s="7">
        <v>33</v>
      </c>
      <c r="AC279" s="7">
        <v>0</v>
      </c>
      <c r="AD279" s="15">
        <v>44957</v>
      </c>
      <c r="AE279" s="50">
        <v>4000</v>
      </c>
      <c r="AF279" s="50"/>
      <c r="AG279" s="7" t="s">
        <v>72</v>
      </c>
      <c r="AH279" s="87">
        <v>44957</v>
      </c>
      <c r="AI279" s="82">
        <v>9499094</v>
      </c>
      <c r="AJ279" s="20" t="s">
        <v>447</v>
      </c>
      <c r="AK279" s="20" t="s">
        <v>147</v>
      </c>
      <c r="AL279" s="20">
        <v>4000</v>
      </c>
      <c r="AM279" s="20"/>
      <c r="AN279" s="20" t="s">
        <v>430</v>
      </c>
      <c r="AO279" s="20"/>
      <c r="AP279" s="7"/>
      <c r="AQ279" s="7"/>
      <c r="AR279" s="7"/>
      <c r="AS279" s="7"/>
      <c r="AT279" s="7"/>
      <c r="AU279" s="7"/>
      <c r="AV279" s="7"/>
      <c r="AW279" s="15">
        <v>44957</v>
      </c>
      <c r="AX279" s="28" t="s">
        <v>490</v>
      </c>
      <c r="AY279" s="7">
        <v>15240</v>
      </c>
      <c r="AZ279" s="7">
        <v>3.81</v>
      </c>
      <c r="BA279" s="20">
        <f>+AY279/AZ279</f>
        <v>4000</v>
      </c>
      <c r="BB279" s="20"/>
      <c r="BD279" s="7"/>
      <c r="CS279" s="9">
        <f t="shared" si="20"/>
        <v>4000</v>
      </c>
      <c r="CT279" s="20">
        <f t="shared" si="21"/>
        <v>4000</v>
      </c>
      <c r="CU279" s="20">
        <f t="shared" si="22"/>
        <v>0</v>
      </c>
      <c r="CV279" s="24">
        <f t="shared" si="23"/>
        <v>0</v>
      </c>
    </row>
    <row r="280" spans="1:100" x14ac:dyDescent="0.2">
      <c r="A280" s="7" t="s">
        <v>137</v>
      </c>
      <c r="B280" s="1">
        <v>137</v>
      </c>
      <c r="C280" s="2" t="s">
        <v>36</v>
      </c>
      <c r="D280" s="36" t="s">
        <v>37</v>
      </c>
      <c r="E280" s="35"/>
      <c r="F280" s="35"/>
      <c r="G280" s="1" t="s">
        <v>26</v>
      </c>
      <c r="H280" s="1">
        <v>7</v>
      </c>
      <c r="I280" s="18">
        <v>135.15</v>
      </c>
      <c r="J280" s="18">
        <v>41900</v>
      </c>
      <c r="K280" s="2">
        <v>0</v>
      </c>
      <c r="L280" s="2" t="s">
        <v>3</v>
      </c>
      <c r="M280" s="8" t="s">
        <v>0</v>
      </c>
      <c r="N280" s="8" t="s">
        <v>9</v>
      </c>
      <c r="O280" s="7" t="s">
        <v>138</v>
      </c>
      <c r="P280" s="7" t="s">
        <v>0</v>
      </c>
      <c r="Q280" s="28" t="s">
        <v>139</v>
      </c>
      <c r="R280" s="7" t="s">
        <v>140</v>
      </c>
      <c r="S280" s="7" t="s">
        <v>96</v>
      </c>
      <c r="V280" s="8">
        <v>135.15</v>
      </c>
      <c r="W280" s="8"/>
      <c r="X280" s="15">
        <v>44954</v>
      </c>
      <c r="Y280" s="15">
        <v>44954</v>
      </c>
      <c r="Z280" s="17" t="s">
        <v>201</v>
      </c>
      <c r="AA280" s="118">
        <v>41000</v>
      </c>
      <c r="AB280" s="7">
        <v>33</v>
      </c>
      <c r="AC280" s="7">
        <v>1</v>
      </c>
      <c r="AD280" s="15">
        <v>45031</v>
      </c>
      <c r="AE280" s="50">
        <v>945</v>
      </c>
      <c r="AF280" s="50"/>
      <c r="AG280" s="7" t="s">
        <v>72</v>
      </c>
      <c r="AH280" s="87">
        <v>45049</v>
      </c>
      <c r="AI280" s="82">
        <v>9499094</v>
      </c>
      <c r="AJ280" s="20" t="s">
        <v>447</v>
      </c>
      <c r="AK280" s="20" t="s">
        <v>148</v>
      </c>
      <c r="AL280" s="20">
        <v>945</v>
      </c>
      <c r="AM280" s="20"/>
      <c r="AN280" s="20" t="s">
        <v>431</v>
      </c>
      <c r="AO280" s="20"/>
      <c r="AP280" s="7"/>
      <c r="AQ280" s="7"/>
      <c r="AR280" s="7"/>
      <c r="AS280" s="7"/>
      <c r="AT280" s="7"/>
      <c r="AU280" s="7"/>
      <c r="AV280" s="7"/>
      <c r="AW280" s="15">
        <v>45048</v>
      </c>
      <c r="AX280" s="28" t="s">
        <v>491</v>
      </c>
      <c r="BA280" s="20">
        <v>945</v>
      </c>
      <c r="BB280" s="20"/>
      <c r="BD280" s="7"/>
      <c r="CS280" s="9">
        <f t="shared" si="20"/>
        <v>945</v>
      </c>
      <c r="CT280" s="20">
        <f t="shared" si="21"/>
        <v>945</v>
      </c>
      <c r="CU280" s="20">
        <f t="shared" si="22"/>
        <v>0</v>
      </c>
      <c r="CV280" s="24">
        <f t="shared" si="23"/>
        <v>0</v>
      </c>
    </row>
    <row r="281" spans="1:100" x14ac:dyDescent="0.2">
      <c r="A281" s="7" t="s">
        <v>137</v>
      </c>
      <c r="B281" s="1">
        <v>137</v>
      </c>
      <c r="C281" s="2" t="s">
        <v>36</v>
      </c>
      <c r="D281" s="36" t="s">
        <v>37</v>
      </c>
      <c r="E281" s="35"/>
      <c r="F281" s="35"/>
      <c r="G281" s="1" t="s">
        <v>26</v>
      </c>
      <c r="H281" s="1">
        <v>7</v>
      </c>
      <c r="I281" s="18">
        <v>135.15</v>
      </c>
      <c r="J281" s="18">
        <v>41900</v>
      </c>
      <c r="K281" s="2">
        <v>0</v>
      </c>
      <c r="L281" s="2" t="s">
        <v>3</v>
      </c>
      <c r="M281" s="8" t="s">
        <v>0</v>
      </c>
      <c r="N281" s="8" t="s">
        <v>9</v>
      </c>
      <c r="O281" s="7" t="s">
        <v>138</v>
      </c>
      <c r="P281" s="7" t="s">
        <v>0</v>
      </c>
      <c r="Q281" s="28" t="s">
        <v>139</v>
      </c>
      <c r="R281" s="7" t="s">
        <v>140</v>
      </c>
      <c r="S281" s="7" t="s">
        <v>96</v>
      </c>
      <c r="V281" s="8">
        <v>135.15</v>
      </c>
      <c r="W281" s="8"/>
      <c r="X281" s="15">
        <v>44954</v>
      </c>
      <c r="Y281" s="15">
        <v>44954</v>
      </c>
      <c r="Z281" s="17" t="s">
        <v>201</v>
      </c>
      <c r="AA281" s="118">
        <v>41000</v>
      </c>
      <c r="AB281" s="7">
        <v>33</v>
      </c>
      <c r="AC281" s="7">
        <v>2</v>
      </c>
      <c r="AD281" s="15">
        <v>45061</v>
      </c>
      <c r="AE281" s="50">
        <v>945</v>
      </c>
      <c r="AF281" s="50"/>
      <c r="AG281" s="7" t="s">
        <v>72</v>
      </c>
      <c r="AH281" s="87">
        <v>45086</v>
      </c>
      <c r="AI281" s="82">
        <v>9499094</v>
      </c>
      <c r="AJ281" s="20" t="s">
        <v>447</v>
      </c>
      <c r="AK281" s="20" t="s">
        <v>442</v>
      </c>
      <c r="AL281" s="20">
        <v>945</v>
      </c>
      <c r="AM281" s="20"/>
      <c r="AN281" s="20" t="s">
        <v>434</v>
      </c>
      <c r="AO281" s="20"/>
      <c r="AP281" s="7"/>
      <c r="AQ281" s="7"/>
      <c r="AR281" s="7"/>
      <c r="AS281" s="7"/>
      <c r="AT281" s="7"/>
      <c r="AU281" s="7"/>
      <c r="AV281" s="7"/>
      <c r="AW281" s="15">
        <v>45073</v>
      </c>
      <c r="AX281" s="28" t="s">
        <v>492</v>
      </c>
      <c r="AY281" s="20">
        <v>3491.25</v>
      </c>
      <c r="AZ281" s="7">
        <v>3.6789999999999998</v>
      </c>
      <c r="BA281" s="20">
        <f t="shared" ref="BA281:BA287" si="24">+AY281/AZ281</f>
        <v>948.96711062788802</v>
      </c>
      <c r="BB281" s="20"/>
      <c r="BD281" s="7"/>
      <c r="CS281" s="9">
        <f t="shared" si="20"/>
        <v>945</v>
      </c>
      <c r="CT281" s="20">
        <f t="shared" si="21"/>
        <v>948.96711062788802</v>
      </c>
      <c r="CU281" s="20">
        <f t="shared" si="22"/>
        <v>-3.9671106278880188</v>
      </c>
      <c r="CV281" s="24">
        <f t="shared" si="23"/>
        <v>0</v>
      </c>
    </row>
    <row r="282" spans="1:100" x14ac:dyDescent="0.2">
      <c r="A282" s="7" t="s">
        <v>137</v>
      </c>
      <c r="B282" s="1">
        <v>137</v>
      </c>
      <c r="C282" s="2" t="s">
        <v>36</v>
      </c>
      <c r="D282" s="36" t="s">
        <v>37</v>
      </c>
      <c r="E282" s="35"/>
      <c r="F282" s="35"/>
      <c r="G282" s="1" t="s">
        <v>26</v>
      </c>
      <c r="H282" s="1">
        <v>7</v>
      </c>
      <c r="I282" s="18">
        <v>135.15</v>
      </c>
      <c r="J282" s="18">
        <v>41900</v>
      </c>
      <c r="K282" s="2">
        <v>0</v>
      </c>
      <c r="L282" s="2" t="s">
        <v>3</v>
      </c>
      <c r="M282" s="8" t="s">
        <v>0</v>
      </c>
      <c r="N282" s="8" t="s">
        <v>9</v>
      </c>
      <c r="O282" s="7" t="s">
        <v>138</v>
      </c>
      <c r="P282" s="7" t="s">
        <v>0</v>
      </c>
      <c r="Q282" s="28" t="s">
        <v>139</v>
      </c>
      <c r="R282" s="7" t="s">
        <v>140</v>
      </c>
      <c r="S282" s="7" t="s">
        <v>96</v>
      </c>
      <c r="V282" s="8">
        <v>135.15</v>
      </c>
      <c r="W282" s="8"/>
      <c r="X282" s="15">
        <v>44954</v>
      </c>
      <c r="Y282" s="15">
        <v>44954</v>
      </c>
      <c r="Z282" s="17" t="s">
        <v>201</v>
      </c>
      <c r="AA282" s="118">
        <v>41000</v>
      </c>
      <c r="AB282" s="7">
        <v>33</v>
      </c>
      <c r="AC282" s="7">
        <v>3</v>
      </c>
      <c r="AD282" s="15">
        <v>45092</v>
      </c>
      <c r="AE282" s="50">
        <v>945</v>
      </c>
      <c r="AF282" s="50"/>
      <c r="AG282" s="7" t="s">
        <v>72</v>
      </c>
      <c r="AH282" s="87">
        <v>45076</v>
      </c>
      <c r="AI282" s="82">
        <v>9499094</v>
      </c>
      <c r="AJ282" s="20" t="s">
        <v>447</v>
      </c>
      <c r="AK282" s="20" t="s">
        <v>149</v>
      </c>
      <c r="AL282" s="20">
        <v>945</v>
      </c>
      <c r="AM282" s="20"/>
      <c r="AN282" s="20" t="s">
        <v>433</v>
      </c>
      <c r="AO282" s="20"/>
      <c r="AP282" s="7"/>
      <c r="AQ282" s="7"/>
      <c r="AR282" s="7"/>
      <c r="AS282" s="7"/>
      <c r="AT282" s="7"/>
      <c r="AU282" s="7"/>
      <c r="AV282" s="7"/>
      <c r="AW282" s="15">
        <v>45074</v>
      </c>
      <c r="AX282" s="28" t="s">
        <v>493</v>
      </c>
      <c r="AY282" s="20">
        <v>3472.88</v>
      </c>
      <c r="AZ282" s="7">
        <v>3.67</v>
      </c>
      <c r="BA282" s="20">
        <f t="shared" si="24"/>
        <v>946.28882833787475</v>
      </c>
      <c r="BB282" s="20"/>
      <c r="BD282" s="7"/>
      <c r="CS282" s="9">
        <f t="shared" si="20"/>
        <v>945</v>
      </c>
      <c r="CT282" s="20">
        <f t="shared" si="21"/>
        <v>946.28882833787475</v>
      </c>
      <c r="CU282" s="20">
        <f t="shared" si="22"/>
        <v>-1.2888283378747474</v>
      </c>
      <c r="CV282" s="24">
        <f t="shared" si="23"/>
        <v>0</v>
      </c>
    </row>
    <row r="283" spans="1:100" x14ac:dyDescent="0.2">
      <c r="A283" s="7" t="s">
        <v>137</v>
      </c>
      <c r="B283" s="1">
        <v>137</v>
      </c>
      <c r="C283" s="2" t="s">
        <v>36</v>
      </c>
      <c r="D283" s="36" t="s">
        <v>37</v>
      </c>
      <c r="E283" s="35"/>
      <c r="F283" s="35"/>
      <c r="G283" s="1" t="s">
        <v>26</v>
      </c>
      <c r="H283" s="1">
        <v>7</v>
      </c>
      <c r="I283" s="18">
        <v>135.15</v>
      </c>
      <c r="J283" s="18">
        <v>41900</v>
      </c>
      <c r="K283" s="2">
        <v>0</v>
      </c>
      <c r="L283" s="2" t="s">
        <v>3</v>
      </c>
      <c r="M283" s="8" t="s">
        <v>0</v>
      </c>
      <c r="N283" s="8" t="s">
        <v>9</v>
      </c>
      <c r="O283" s="7" t="s">
        <v>138</v>
      </c>
      <c r="P283" s="7" t="s">
        <v>0</v>
      </c>
      <c r="Q283" s="28" t="s">
        <v>139</v>
      </c>
      <c r="R283" s="7" t="s">
        <v>140</v>
      </c>
      <c r="S283" s="7" t="s">
        <v>96</v>
      </c>
      <c r="V283" s="8">
        <v>135.15</v>
      </c>
      <c r="W283" s="8"/>
      <c r="X283" s="15">
        <v>44954</v>
      </c>
      <c r="Y283" s="15">
        <v>44954</v>
      </c>
      <c r="Z283" s="17" t="s">
        <v>201</v>
      </c>
      <c r="AA283" s="118">
        <v>41000</v>
      </c>
      <c r="AB283" s="7">
        <v>33</v>
      </c>
      <c r="AC283" s="7">
        <v>4</v>
      </c>
      <c r="AD283" s="15">
        <v>45122</v>
      </c>
      <c r="AE283" s="50">
        <v>945</v>
      </c>
      <c r="AF283" s="50"/>
      <c r="AG283" s="7" t="s">
        <v>72</v>
      </c>
      <c r="AH283" s="87">
        <v>45141</v>
      </c>
      <c r="AI283" s="82">
        <v>9499094</v>
      </c>
      <c r="AJ283" s="20" t="s">
        <v>447</v>
      </c>
      <c r="AK283" s="20" t="s">
        <v>150</v>
      </c>
      <c r="AL283" s="20">
        <v>945</v>
      </c>
      <c r="AM283" s="20"/>
      <c r="AN283" s="20" t="s">
        <v>435</v>
      </c>
      <c r="AO283" s="20"/>
      <c r="AP283" s="7"/>
      <c r="AQ283" s="7"/>
      <c r="AR283" s="7"/>
      <c r="AS283" s="7"/>
      <c r="AT283" s="7"/>
      <c r="AU283" s="7"/>
      <c r="AV283" s="7"/>
      <c r="AW283" s="15">
        <v>45110</v>
      </c>
      <c r="AX283" s="28" t="s">
        <v>494</v>
      </c>
      <c r="AY283" s="20">
        <v>3433.18</v>
      </c>
      <c r="AZ283" s="7">
        <v>3.63</v>
      </c>
      <c r="BA283" s="20">
        <f t="shared" si="24"/>
        <v>945.77961432506891</v>
      </c>
      <c r="BB283" s="20"/>
      <c r="BD283" s="7"/>
      <c r="CS283" s="9">
        <f t="shared" si="20"/>
        <v>945</v>
      </c>
      <c r="CT283" s="20">
        <f t="shared" si="21"/>
        <v>945.77961432506891</v>
      </c>
      <c r="CU283" s="20">
        <f t="shared" si="22"/>
        <v>-0.7796143250689056</v>
      </c>
      <c r="CV283" s="24">
        <f t="shared" si="23"/>
        <v>0</v>
      </c>
    </row>
    <row r="284" spans="1:100" x14ac:dyDescent="0.2">
      <c r="A284" s="7" t="s">
        <v>137</v>
      </c>
      <c r="B284" s="1">
        <v>137</v>
      </c>
      <c r="C284" s="2" t="s">
        <v>36</v>
      </c>
      <c r="D284" s="36" t="s">
        <v>37</v>
      </c>
      <c r="E284" s="35"/>
      <c r="F284" s="35"/>
      <c r="G284" s="1" t="s">
        <v>26</v>
      </c>
      <c r="H284" s="1">
        <v>7</v>
      </c>
      <c r="I284" s="18">
        <v>135.15</v>
      </c>
      <c r="J284" s="18">
        <v>41900</v>
      </c>
      <c r="K284" s="2">
        <v>0</v>
      </c>
      <c r="L284" s="2" t="s">
        <v>3</v>
      </c>
      <c r="M284" s="8" t="s">
        <v>0</v>
      </c>
      <c r="N284" s="8" t="s">
        <v>9</v>
      </c>
      <c r="O284" s="7" t="s">
        <v>138</v>
      </c>
      <c r="P284" s="7" t="s">
        <v>0</v>
      </c>
      <c r="Q284" s="28" t="s">
        <v>139</v>
      </c>
      <c r="R284" s="7" t="s">
        <v>140</v>
      </c>
      <c r="S284" s="7" t="s">
        <v>96</v>
      </c>
      <c r="V284" s="8">
        <v>135.15</v>
      </c>
      <c r="W284" s="8"/>
      <c r="X284" s="15">
        <v>44954</v>
      </c>
      <c r="Y284" s="15">
        <v>44954</v>
      </c>
      <c r="Z284" s="17" t="s">
        <v>201</v>
      </c>
      <c r="AA284" s="118">
        <v>41000</v>
      </c>
      <c r="AB284" s="7">
        <v>33</v>
      </c>
      <c r="AC284" s="7">
        <v>5</v>
      </c>
      <c r="AD284" s="15">
        <v>45153</v>
      </c>
      <c r="AE284" s="50">
        <v>945</v>
      </c>
      <c r="AF284" s="50"/>
      <c r="AG284" s="7" t="s">
        <v>72</v>
      </c>
      <c r="AH284" s="87">
        <v>45146</v>
      </c>
      <c r="AI284" s="82">
        <v>9499094</v>
      </c>
      <c r="AJ284" s="20" t="s">
        <v>447</v>
      </c>
      <c r="AK284" s="20" t="s">
        <v>151</v>
      </c>
      <c r="AL284" s="20">
        <v>945</v>
      </c>
      <c r="AM284" s="20"/>
      <c r="AN284" s="20" t="s">
        <v>436</v>
      </c>
      <c r="AO284" s="20"/>
      <c r="AP284" s="7"/>
      <c r="AQ284" s="7"/>
      <c r="AR284" s="7"/>
      <c r="AS284" s="7"/>
      <c r="AT284" s="7"/>
      <c r="AU284" s="7"/>
      <c r="AV284" s="7"/>
      <c r="AW284" s="15">
        <v>45141</v>
      </c>
      <c r="AX284" s="28" t="s">
        <v>495</v>
      </c>
      <c r="AY284" s="20">
        <v>3477.95</v>
      </c>
      <c r="AZ284" s="7">
        <v>3.68</v>
      </c>
      <c r="BA284" s="20">
        <f t="shared" si="24"/>
        <v>945.09510869565213</v>
      </c>
      <c r="BB284" s="20"/>
      <c r="BD284" s="7"/>
      <c r="CS284" s="9">
        <f t="shared" ref="CS284:CS347" si="25">+AL284+AT284</f>
        <v>945</v>
      </c>
      <c r="CT284" s="20">
        <f t="shared" ref="CT284:CT347" si="26">+BA284+BG284+BM284+BS284+BY284+CE284+CK284+CQ284</f>
        <v>945.09510869565213</v>
      </c>
      <c r="CU284" s="20">
        <f t="shared" ref="CU284:CU347" si="27">+CS284-CT284</f>
        <v>-9.5108695652129427E-2</v>
      </c>
      <c r="CV284" s="24">
        <f t="shared" ref="CV284:CV347" si="28">+AE284-AL284-AT284</f>
        <v>0</v>
      </c>
    </row>
    <row r="285" spans="1:100" x14ac:dyDescent="0.2">
      <c r="A285" s="7" t="s">
        <v>137</v>
      </c>
      <c r="B285" s="1">
        <v>137</v>
      </c>
      <c r="C285" s="2" t="s">
        <v>36</v>
      </c>
      <c r="D285" s="36" t="s">
        <v>37</v>
      </c>
      <c r="E285" s="35"/>
      <c r="F285" s="35"/>
      <c r="G285" s="1" t="s">
        <v>26</v>
      </c>
      <c r="H285" s="1">
        <v>7</v>
      </c>
      <c r="I285" s="18">
        <v>135.15</v>
      </c>
      <c r="J285" s="18">
        <v>41900</v>
      </c>
      <c r="K285" s="2">
        <v>0</v>
      </c>
      <c r="L285" s="2" t="s">
        <v>3</v>
      </c>
      <c r="M285" s="8" t="s">
        <v>0</v>
      </c>
      <c r="N285" s="8" t="s">
        <v>9</v>
      </c>
      <c r="O285" s="7" t="s">
        <v>138</v>
      </c>
      <c r="P285" s="7" t="s">
        <v>0</v>
      </c>
      <c r="Q285" s="28" t="s">
        <v>139</v>
      </c>
      <c r="R285" s="7" t="s">
        <v>140</v>
      </c>
      <c r="S285" s="7" t="s">
        <v>96</v>
      </c>
      <c r="V285" s="8">
        <v>135.15</v>
      </c>
      <c r="W285" s="8"/>
      <c r="X285" s="15">
        <v>44954</v>
      </c>
      <c r="Y285" s="15">
        <v>44954</v>
      </c>
      <c r="Z285" s="17" t="s">
        <v>201</v>
      </c>
      <c r="AA285" s="118">
        <v>41000</v>
      </c>
      <c r="AB285" s="7">
        <v>33</v>
      </c>
      <c r="AC285" s="7">
        <v>6</v>
      </c>
      <c r="AD285" s="15">
        <v>45184</v>
      </c>
      <c r="AE285" s="50">
        <v>945</v>
      </c>
      <c r="AF285" s="50"/>
      <c r="AG285" s="7" t="s">
        <v>72</v>
      </c>
      <c r="AH285" s="87">
        <v>45184</v>
      </c>
      <c r="AI285" s="82">
        <v>9499094</v>
      </c>
      <c r="AJ285" s="20" t="s">
        <v>447</v>
      </c>
      <c r="AK285" s="20" t="s">
        <v>152</v>
      </c>
      <c r="AL285" s="20">
        <v>945</v>
      </c>
      <c r="AM285" s="20"/>
      <c r="AN285" s="20" t="s">
        <v>437</v>
      </c>
      <c r="AO285" s="20"/>
      <c r="AP285" s="7"/>
      <c r="AQ285" s="7"/>
      <c r="AR285" s="7"/>
      <c r="AS285" s="7"/>
      <c r="AT285" s="7"/>
      <c r="AU285" s="7"/>
      <c r="AV285" s="7"/>
      <c r="AW285" s="15">
        <v>45181</v>
      </c>
      <c r="AX285" s="28" t="s">
        <v>496</v>
      </c>
      <c r="AY285" s="20">
        <v>3496.5</v>
      </c>
      <c r="AZ285" s="7">
        <v>3.7</v>
      </c>
      <c r="BA285" s="20">
        <f t="shared" si="24"/>
        <v>945</v>
      </c>
      <c r="BB285" s="20"/>
      <c r="BD285" s="7"/>
      <c r="CS285" s="9">
        <f t="shared" si="25"/>
        <v>945</v>
      </c>
      <c r="CT285" s="20">
        <f t="shared" si="26"/>
        <v>945</v>
      </c>
      <c r="CU285" s="20">
        <f t="shared" si="27"/>
        <v>0</v>
      </c>
      <c r="CV285" s="24">
        <f t="shared" si="28"/>
        <v>0</v>
      </c>
    </row>
    <row r="286" spans="1:100" x14ac:dyDescent="0.2">
      <c r="A286" s="7" t="s">
        <v>137</v>
      </c>
      <c r="B286" s="1">
        <v>137</v>
      </c>
      <c r="C286" s="2" t="s">
        <v>36</v>
      </c>
      <c r="D286" s="36" t="s">
        <v>37</v>
      </c>
      <c r="E286" s="35"/>
      <c r="F286" s="35"/>
      <c r="G286" s="1" t="s">
        <v>26</v>
      </c>
      <c r="H286" s="1">
        <v>7</v>
      </c>
      <c r="I286" s="18">
        <v>135.15</v>
      </c>
      <c r="J286" s="18">
        <v>41900</v>
      </c>
      <c r="K286" s="2">
        <v>0</v>
      </c>
      <c r="L286" s="2" t="s">
        <v>3</v>
      </c>
      <c r="M286" s="8" t="s">
        <v>0</v>
      </c>
      <c r="N286" s="8" t="s">
        <v>9</v>
      </c>
      <c r="O286" s="7" t="s">
        <v>138</v>
      </c>
      <c r="P286" s="7" t="s">
        <v>0</v>
      </c>
      <c r="Q286" s="28" t="s">
        <v>139</v>
      </c>
      <c r="R286" s="7" t="s">
        <v>140</v>
      </c>
      <c r="S286" s="7" t="s">
        <v>96</v>
      </c>
      <c r="V286" s="8">
        <v>135.15</v>
      </c>
      <c r="W286" s="8"/>
      <c r="X286" s="15">
        <v>44954</v>
      </c>
      <c r="Y286" s="15">
        <v>44954</v>
      </c>
      <c r="Z286" s="17" t="s">
        <v>201</v>
      </c>
      <c r="AA286" s="118">
        <v>41000</v>
      </c>
      <c r="AB286" s="7">
        <v>33</v>
      </c>
      <c r="AC286" s="7">
        <v>7</v>
      </c>
      <c r="AD286" s="15">
        <v>45214</v>
      </c>
      <c r="AE286" s="50">
        <v>1000</v>
      </c>
      <c r="AF286" s="50"/>
      <c r="AG286" s="7" t="s">
        <v>72</v>
      </c>
      <c r="AH286" s="87">
        <v>45215</v>
      </c>
      <c r="AI286" s="82">
        <v>9499094</v>
      </c>
      <c r="AJ286" s="20" t="s">
        <v>447</v>
      </c>
      <c r="AK286" s="20" t="s">
        <v>443</v>
      </c>
      <c r="AL286" s="20">
        <v>1000</v>
      </c>
      <c r="AM286" s="20"/>
      <c r="AN286" s="20" t="s">
        <v>438</v>
      </c>
      <c r="AO286" s="20"/>
      <c r="AP286" s="7"/>
      <c r="AQ286" s="7"/>
      <c r="AR286" s="7"/>
      <c r="AS286" s="7"/>
      <c r="AT286" s="7"/>
      <c r="AU286" s="7"/>
      <c r="AV286" s="7"/>
      <c r="AW286" s="15">
        <v>45215</v>
      </c>
      <c r="AX286" s="28" t="s">
        <v>497</v>
      </c>
      <c r="AY286" s="20">
        <v>3850</v>
      </c>
      <c r="AZ286" s="7">
        <v>3.85</v>
      </c>
      <c r="BA286" s="20">
        <f t="shared" si="24"/>
        <v>1000</v>
      </c>
      <c r="BB286" s="20"/>
      <c r="BD286" s="7"/>
      <c r="CS286" s="9">
        <f t="shared" si="25"/>
        <v>1000</v>
      </c>
      <c r="CT286" s="20">
        <f t="shared" si="26"/>
        <v>1000</v>
      </c>
      <c r="CU286" s="20">
        <f t="shared" si="27"/>
        <v>0</v>
      </c>
      <c r="CV286" s="24">
        <f t="shared" si="28"/>
        <v>0</v>
      </c>
    </row>
    <row r="287" spans="1:100" x14ac:dyDescent="0.2">
      <c r="A287" s="7" t="s">
        <v>137</v>
      </c>
      <c r="B287" s="1">
        <v>137</v>
      </c>
      <c r="C287" s="2" t="s">
        <v>36</v>
      </c>
      <c r="D287" s="36" t="s">
        <v>37</v>
      </c>
      <c r="E287" s="35"/>
      <c r="F287" s="35"/>
      <c r="G287" s="1" t="s">
        <v>26</v>
      </c>
      <c r="H287" s="1">
        <v>7</v>
      </c>
      <c r="I287" s="18">
        <v>135.15</v>
      </c>
      <c r="J287" s="18">
        <v>41900</v>
      </c>
      <c r="K287" s="2">
        <v>0</v>
      </c>
      <c r="L287" s="2" t="s">
        <v>3</v>
      </c>
      <c r="M287" s="8" t="s">
        <v>0</v>
      </c>
      <c r="N287" s="8" t="s">
        <v>9</v>
      </c>
      <c r="O287" s="7" t="s">
        <v>138</v>
      </c>
      <c r="P287" s="7" t="s">
        <v>0</v>
      </c>
      <c r="Q287" s="28" t="s">
        <v>139</v>
      </c>
      <c r="R287" s="7" t="s">
        <v>140</v>
      </c>
      <c r="S287" s="7" t="s">
        <v>96</v>
      </c>
      <c r="V287" s="8">
        <v>135.15</v>
      </c>
      <c r="W287" s="8"/>
      <c r="X287" s="15">
        <v>44954</v>
      </c>
      <c r="Y287" s="15">
        <v>44954</v>
      </c>
      <c r="Z287" s="17" t="s">
        <v>201</v>
      </c>
      <c r="AA287" s="118">
        <v>41000</v>
      </c>
      <c r="AB287" s="7">
        <v>33</v>
      </c>
      <c r="AC287" s="7">
        <v>8</v>
      </c>
      <c r="AD287" s="15">
        <v>45245</v>
      </c>
      <c r="AE287" s="50">
        <v>1000</v>
      </c>
      <c r="AF287" s="50"/>
      <c r="AG287" s="7" t="s">
        <v>72</v>
      </c>
      <c r="AH287" s="87">
        <v>45239</v>
      </c>
      <c r="AI287" s="82">
        <v>9499094</v>
      </c>
      <c r="AJ287" s="20" t="s">
        <v>447</v>
      </c>
      <c r="AK287" s="20" t="s">
        <v>444</v>
      </c>
      <c r="AL287" s="20">
        <v>1000</v>
      </c>
      <c r="AM287" s="20"/>
      <c r="AN287" s="20" t="s">
        <v>439</v>
      </c>
      <c r="AO287" s="20"/>
      <c r="AP287" s="7"/>
      <c r="AQ287" s="7"/>
      <c r="AR287" s="7"/>
      <c r="AS287" s="7"/>
      <c r="AT287" s="7"/>
      <c r="AU287" s="7"/>
      <c r="AV287" s="7"/>
      <c r="AW287" s="15">
        <v>45238</v>
      </c>
      <c r="AX287" s="28" t="s">
        <v>498</v>
      </c>
      <c r="AY287" s="20">
        <v>3760</v>
      </c>
      <c r="AZ287" s="7">
        <v>3.76</v>
      </c>
      <c r="BA287" s="20">
        <f t="shared" si="24"/>
        <v>1000</v>
      </c>
      <c r="BB287" s="20"/>
      <c r="BD287" s="7"/>
      <c r="CS287" s="9">
        <f t="shared" si="25"/>
        <v>1000</v>
      </c>
      <c r="CT287" s="20">
        <f t="shared" si="26"/>
        <v>1000</v>
      </c>
      <c r="CU287" s="20">
        <f t="shared" si="27"/>
        <v>0</v>
      </c>
      <c r="CV287" s="24">
        <f t="shared" si="28"/>
        <v>0</v>
      </c>
    </row>
    <row r="288" spans="1:100" x14ac:dyDescent="0.2">
      <c r="A288" s="7" t="s">
        <v>137</v>
      </c>
      <c r="B288" s="1">
        <v>137</v>
      </c>
      <c r="C288" s="2" t="s">
        <v>36</v>
      </c>
      <c r="D288" s="36" t="s">
        <v>37</v>
      </c>
      <c r="E288" s="35"/>
      <c r="F288" s="35"/>
      <c r="G288" s="1" t="s">
        <v>26</v>
      </c>
      <c r="H288" s="1">
        <v>7</v>
      </c>
      <c r="I288" s="18">
        <v>135.15</v>
      </c>
      <c r="J288" s="18">
        <v>41900</v>
      </c>
      <c r="K288" s="2">
        <v>0</v>
      </c>
      <c r="L288" s="2" t="s">
        <v>3</v>
      </c>
      <c r="M288" s="8" t="s">
        <v>0</v>
      </c>
      <c r="N288" s="8" t="s">
        <v>9</v>
      </c>
      <c r="O288" s="7" t="s">
        <v>138</v>
      </c>
      <c r="P288" s="7" t="s">
        <v>0</v>
      </c>
      <c r="Q288" s="28" t="s">
        <v>139</v>
      </c>
      <c r="R288" s="7" t="s">
        <v>140</v>
      </c>
      <c r="S288" s="7" t="s">
        <v>96</v>
      </c>
      <c r="V288" s="8">
        <v>135.15</v>
      </c>
      <c r="W288" s="8"/>
      <c r="X288" s="15">
        <v>44954</v>
      </c>
      <c r="Y288" s="15">
        <v>44954</v>
      </c>
      <c r="Z288" s="17" t="s">
        <v>201</v>
      </c>
      <c r="AA288" s="118">
        <v>41000</v>
      </c>
      <c r="AB288" s="7">
        <v>33</v>
      </c>
      <c r="AC288" s="7">
        <v>9</v>
      </c>
      <c r="AD288" s="15">
        <v>45275</v>
      </c>
      <c r="AE288" s="50">
        <v>1000</v>
      </c>
      <c r="AF288" s="50"/>
      <c r="AG288" s="7" t="s">
        <v>72</v>
      </c>
      <c r="AH288" s="87">
        <v>45279</v>
      </c>
      <c r="AI288" s="82">
        <v>9499094</v>
      </c>
      <c r="AJ288" s="20" t="s">
        <v>447</v>
      </c>
      <c r="AK288" s="20" t="s">
        <v>445</v>
      </c>
      <c r="AL288" s="20">
        <v>1000</v>
      </c>
      <c r="AM288" s="20"/>
      <c r="AN288" s="20" t="s">
        <v>440</v>
      </c>
      <c r="AO288" s="20"/>
      <c r="AP288" s="7"/>
      <c r="AQ288" s="7"/>
      <c r="AR288" s="7"/>
      <c r="AS288" s="7"/>
      <c r="AT288" s="7"/>
      <c r="AU288" s="7"/>
      <c r="AV288" s="7"/>
      <c r="AW288" s="15">
        <v>45279</v>
      </c>
      <c r="AX288" s="28" t="s">
        <v>499</v>
      </c>
      <c r="AY288" s="20"/>
      <c r="BA288" s="20">
        <v>1000</v>
      </c>
      <c r="BB288" s="20"/>
      <c r="BD288" s="7"/>
      <c r="CS288" s="9">
        <f t="shared" si="25"/>
        <v>1000</v>
      </c>
      <c r="CT288" s="20">
        <f t="shared" si="26"/>
        <v>1000</v>
      </c>
      <c r="CU288" s="20">
        <f t="shared" si="27"/>
        <v>0</v>
      </c>
      <c r="CV288" s="24">
        <f t="shared" si="28"/>
        <v>0</v>
      </c>
    </row>
    <row r="289" spans="1:100" x14ac:dyDescent="0.2">
      <c r="A289" s="7" t="s">
        <v>137</v>
      </c>
      <c r="B289" s="1">
        <v>137</v>
      </c>
      <c r="C289" s="2" t="s">
        <v>36</v>
      </c>
      <c r="D289" s="36" t="s">
        <v>37</v>
      </c>
      <c r="E289" s="35"/>
      <c r="F289" s="35"/>
      <c r="G289" s="1" t="s">
        <v>26</v>
      </c>
      <c r="H289" s="1">
        <v>7</v>
      </c>
      <c r="I289" s="18">
        <v>135.15</v>
      </c>
      <c r="J289" s="18">
        <v>41900</v>
      </c>
      <c r="K289" s="2">
        <v>0</v>
      </c>
      <c r="L289" s="2" t="s">
        <v>3</v>
      </c>
      <c r="M289" s="8" t="s">
        <v>0</v>
      </c>
      <c r="N289" s="8" t="s">
        <v>9</v>
      </c>
      <c r="O289" s="7" t="s">
        <v>138</v>
      </c>
      <c r="P289" s="7" t="s">
        <v>0</v>
      </c>
      <c r="Q289" s="28" t="s">
        <v>139</v>
      </c>
      <c r="R289" s="7" t="s">
        <v>140</v>
      </c>
      <c r="S289" s="7" t="s">
        <v>96</v>
      </c>
      <c r="V289" s="8">
        <v>135.15</v>
      </c>
      <c r="W289" s="8"/>
      <c r="X289" s="15">
        <v>44954</v>
      </c>
      <c r="Y289" s="15">
        <v>44954</v>
      </c>
      <c r="Z289" s="17" t="s">
        <v>201</v>
      </c>
      <c r="AA289" s="118">
        <v>41000</v>
      </c>
      <c r="AB289" s="7">
        <v>33</v>
      </c>
      <c r="AC289" s="7">
        <v>10</v>
      </c>
      <c r="AD289" s="15">
        <v>45306</v>
      </c>
      <c r="AE289" s="50">
        <v>1000</v>
      </c>
      <c r="AF289" s="50"/>
      <c r="AG289" s="7" t="s">
        <v>72</v>
      </c>
      <c r="AH289" s="87">
        <v>45289</v>
      </c>
      <c r="AI289" s="82">
        <v>9499094</v>
      </c>
      <c r="AJ289" s="20" t="s">
        <v>447</v>
      </c>
      <c r="AK289" s="20" t="s">
        <v>446</v>
      </c>
      <c r="AL289" s="20">
        <v>1000</v>
      </c>
      <c r="AM289" s="20"/>
      <c r="AN289" s="20" t="s">
        <v>441</v>
      </c>
      <c r="AO289" s="20"/>
      <c r="AP289" s="7"/>
      <c r="AQ289" s="7"/>
      <c r="AR289" s="7"/>
      <c r="AS289" s="7"/>
      <c r="AT289" s="7"/>
      <c r="AU289" s="7"/>
      <c r="AV289" s="7"/>
      <c r="AW289" s="15">
        <v>45288</v>
      </c>
      <c r="AX289" s="116" t="s">
        <v>500</v>
      </c>
      <c r="BA289" s="20">
        <v>1000</v>
      </c>
      <c r="BB289" s="20"/>
      <c r="BD289" s="7"/>
      <c r="CS289" s="9">
        <f t="shared" si="25"/>
        <v>1000</v>
      </c>
      <c r="CT289" s="20">
        <f t="shared" si="26"/>
        <v>1000</v>
      </c>
      <c r="CU289" s="20">
        <f t="shared" si="27"/>
        <v>0</v>
      </c>
      <c r="CV289" s="24">
        <f t="shared" si="28"/>
        <v>0</v>
      </c>
    </row>
    <row r="290" spans="1:100" x14ac:dyDescent="0.2">
      <c r="A290" s="7" t="s">
        <v>137</v>
      </c>
      <c r="B290" s="1">
        <v>137</v>
      </c>
      <c r="C290" s="2" t="s">
        <v>36</v>
      </c>
      <c r="D290" s="36" t="s">
        <v>37</v>
      </c>
      <c r="E290" s="35"/>
      <c r="F290" s="35"/>
      <c r="G290" s="1" t="s">
        <v>26</v>
      </c>
      <c r="H290" s="1">
        <v>7</v>
      </c>
      <c r="I290" s="18">
        <v>135.15</v>
      </c>
      <c r="J290" s="18">
        <v>41900</v>
      </c>
      <c r="K290" s="2">
        <v>0</v>
      </c>
      <c r="L290" s="2" t="s">
        <v>3</v>
      </c>
      <c r="M290" s="8" t="s">
        <v>0</v>
      </c>
      <c r="N290" s="8" t="s">
        <v>9</v>
      </c>
      <c r="O290" s="7" t="s">
        <v>138</v>
      </c>
      <c r="P290" s="7" t="s">
        <v>0</v>
      </c>
      <c r="Q290" s="28" t="s">
        <v>139</v>
      </c>
      <c r="R290" s="7" t="s">
        <v>140</v>
      </c>
      <c r="S290" s="7" t="s">
        <v>96</v>
      </c>
      <c r="V290" s="8">
        <v>135.15</v>
      </c>
      <c r="W290" s="8"/>
      <c r="X290" s="15">
        <v>44954</v>
      </c>
      <c r="Y290" s="15">
        <v>44954</v>
      </c>
      <c r="Z290" s="17" t="s">
        <v>201</v>
      </c>
      <c r="AA290" s="118">
        <v>41000</v>
      </c>
      <c r="AB290" s="7">
        <v>33</v>
      </c>
      <c r="AC290" s="7">
        <v>11</v>
      </c>
      <c r="AD290" s="15">
        <v>45337</v>
      </c>
      <c r="AE290" s="50">
        <v>1000</v>
      </c>
      <c r="AF290" s="50"/>
      <c r="AG290" s="7" t="s">
        <v>72</v>
      </c>
      <c r="AH290" s="87">
        <v>45329</v>
      </c>
      <c r="AI290" s="82">
        <v>9499094</v>
      </c>
      <c r="AJ290" s="20" t="s">
        <v>447</v>
      </c>
      <c r="AK290" s="20" t="s">
        <v>448</v>
      </c>
      <c r="AL290" s="20">
        <v>1000</v>
      </c>
      <c r="AM290" s="20"/>
      <c r="AN290" s="20" t="s">
        <v>459</v>
      </c>
      <c r="AO290" s="20"/>
      <c r="AP290" s="7"/>
      <c r="AQ290" s="7"/>
      <c r="AR290" s="7"/>
      <c r="AS290" s="7"/>
      <c r="AT290" s="7"/>
      <c r="AU290" s="7"/>
      <c r="AV290" s="7"/>
      <c r="AW290" s="15">
        <v>45324</v>
      </c>
      <c r="AX290" s="28" t="s">
        <v>501</v>
      </c>
      <c r="BA290" s="20">
        <v>1000</v>
      </c>
      <c r="BB290" s="20"/>
      <c r="BD290" s="7"/>
      <c r="CS290" s="9">
        <f t="shared" si="25"/>
        <v>1000</v>
      </c>
      <c r="CT290" s="20">
        <f t="shared" si="26"/>
        <v>1000</v>
      </c>
      <c r="CU290" s="20">
        <f t="shared" si="27"/>
        <v>0</v>
      </c>
      <c r="CV290" s="24">
        <f t="shared" si="28"/>
        <v>0</v>
      </c>
    </row>
    <row r="291" spans="1:100" x14ac:dyDescent="0.2">
      <c r="A291" s="7" t="s">
        <v>137</v>
      </c>
      <c r="B291" s="1">
        <v>137</v>
      </c>
      <c r="C291" s="2" t="s">
        <v>36</v>
      </c>
      <c r="D291" s="36" t="s">
        <v>37</v>
      </c>
      <c r="E291" s="35"/>
      <c r="F291" s="35"/>
      <c r="G291" s="1" t="s">
        <v>26</v>
      </c>
      <c r="H291" s="1">
        <v>7</v>
      </c>
      <c r="I291" s="18">
        <v>135.15</v>
      </c>
      <c r="J291" s="18">
        <v>41900</v>
      </c>
      <c r="K291" s="2">
        <v>0</v>
      </c>
      <c r="L291" s="2" t="s">
        <v>3</v>
      </c>
      <c r="M291" s="8" t="s">
        <v>0</v>
      </c>
      <c r="N291" s="8" t="s">
        <v>9</v>
      </c>
      <c r="O291" s="7" t="s">
        <v>138</v>
      </c>
      <c r="P291" s="7" t="s">
        <v>0</v>
      </c>
      <c r="Q291" s="28" t="s">
        <v>139</v>
      </c>
      <c r="R291" s="7" t="s">
        <v>140</v>
      </c>
      <c r="S291" s="7" t="s">
        <v>96</v>
      </c>
      <c r="V291" s="8">
        <v>135.15</v>
      </c>
      <c r="W291" s="8"/>
      <c r="X291" s="15">
        <v>44954</v>
      </c>
      <c r="Y291" s="15">
        <v>44954</v>
      </c>
      <c r="Z291" s="17" t="s">
        <v>201</v>
      </c>
      <c r="AA291" s="118">
        <v>41000</v>
      </c>
      <c r="AB291" s="7">
        <v>33</v>
      </c>
      <c r="AC291" s="7">
        <v>12</v>
      </c>
      <c r="AD291" s="15">
        <v>45366</v>
      </c>
      <c r="AE291" s="50">
        <v>1000</v>
      </c>
      <c r="AF291" s="50"/>
      <c r="AG291" s="7" t="s">
        <v>72</v>
      </c>
      <c r="AH291" s="87">
        <v>45359</v>
      </c>
      <c r="AI291" s="82">
        <v>9499094</v>
      </c>
      <c r="AJ291" s="20" t="s">
        <v>447</v>
      </c>
      <c r="AK291" s="20" t="s">
        <v>449</v>
      </c>
      <c r="AL291" s="20">
        <v>1000</v>
      </c>
      <c r="AM291" s="20"/>
      <c r="AN291" s="20" t="s">
        <v>460</v>
      </c>
      <c r="AO291" s="20"/>
      <c r="AP291" s="7"/>
      <c r="AQ291" s="7"/>
      <c r="AR291" s="7"/>
      <c r="AS291" s="7"/>
      <c r="AT291" s="7"/>
      <c r="AU291" s="7"/>
      <c r="AV291" s="7"/>
      <c r="AW291" s="15">
        <v>45357</v>
      </c>
      <c r="AX291" s="28" t="s">
        <v>502</v>
      </c>
      <c r="BA291" s="20">
        <v>1000</v>
      </c>
      <c r="BB291" s="20"/>
      <c r="BD291" s="7"/>
      <c r="CS291" s="9">
        <f t="shared" si="25"/>
        <v>1000</v>
      </c>
      <c r="CT291" s="20">
        <f t="shared" si="26"/>
        <v>1000</v>
      </c>
      <c r="CU291" s="20">
        <f t="shared" si="27"/>
        <v>0</v>
      </c>
      <c r="CV291" s="24">
        <f t="shared" si="28"/>
        <v>0</v>
      </c>
    </row>
    <row r="292" spans="1:100" x14ac:dyDescent="0.2">
      <c r="A292" s="7" t="s">
        <v>137</v>
      </c>
      <c r="B292" s="1">
        <v>137</v>
      </c>
      <c r="C292" s="2" t="s">
        <v>36</v>
      </c>
      <c r="D292" s="36" t="s">
        <v>37</v>
      </c>
      <c r="E292" s="35"/>
      <c r="F292" s="35"/>
      <c r="G292" s="1" t="s">
        <v>26</v>
      </c>
      <c r="H292" s="1">
        <v>7</v>
      </c>
      <c r="I292" s="18">
        <v>135.15</v>
      </c>
      <c r="J292" s="18">
        <v>41900</v>
      </c>
      <c r="K292" s="2">
        <v>0</v>
      </c>
      <c r="L292" s="2" t="s">
        <v>3</v>
      </c>
      <c r="M292" s="8" t="s">
        <v>0</v>
      </c>
      <c r="N292" s="8" t="s">
        <v>9</v>
      </c>
      <c r="O292" s="7" t="s">
        <v>138</v>
      </c>
      <c r="P292" s="7" t="s">
        <v>0</v>
      </c>
      <c r="Q292" s="28" t="s">
        <v>139</v>
      </c>
      <c r="R292" s="7" t="s">
        <v>140</v>
      </c>
      <c r="S292" s="7" t="s">
        <v>96</v>
      </c>
      <c r="V292" s="8">
        <v>135.15</v>
      </c>
      <c r="W292" s="8"/>
      <c r="X292" s="15">
        <v>44954</v>
      </c>
      <c r="Y292" s="15">
        <v>44954</v>
      </c>
      <c r="Z292" s="17" t="s">
        <v>201</v>
      </c>
      <c r="AA292" s="118">
        <v>41000</v>
      </c>
      <c r="AB292" s="7">
        <v>33</v>
      </c>
      <c r="AC292" s="7">
        <v>13</v>
      </c>
      <c r="AD292" s="15">
        <v>45397</v>
      </c>
      <c r="AE292" s="50">
        <v>1000</v>
      </c>
      <c r="AF292" s="50"/>
      <c r="AG292" s="7" t="s">
        <v>72</v>
      </c>
      <c r="AH292" s="87">
        <v>45428</v>
      </c>
      <c r="AI292" s="82">
        <v>9499094</v>
      </c>
      <c r="AJ292" s="20" t="s">
        <v>447</v>
      </c>
      <c r="AK292" s="20" t="s">
        <v>450</v>
      </c>
      <c r="AL292" s="20">
        <v>1000</v>
      </c>
      <c r="AM292" s="20"/>
      <c r="AN292" s="20" t="s">
        <v>461</v>
      </c>
      <c r="AO292" s="20"/>
      <c r="AP292" s="7"/>
      <c r="AQ292" s="7"/>
      <c r="AR292" s="7"/>
      <c r="AS292" s="7"/>
      <c r="AT292" s="7"/>
      <c r="AU292" s="7"/>
      <c r="AV292" s="7"/>
      <c r="AW292" s="15">
        <v>45402</v>
      </c>
      <c r="AX292" s="28" t="s">
        <v>505</v>
      </c>
      <c r="BA292" s="20">
        <v>1000</v>
      </c>
      <c r="BB292" s="20"/>
      <c r="BD292" s="7"/>
      <c r="CS292" s="9">
        <f t="shared" si="25"/>
        <v>1000</v>
      </c>
      <c r="CT292" s="20">
        <f t="shared" si="26"/>
        <v>1000</v>
      </c>
      <c r="CU292" s="20">
        <f t="shared" si="27"/>
        <v>0</v>
      </c>
      <c r="CV292" s="24">
        <f t="shared" si="28"/>
        <v>0</v>
      </c>
    </row>
    <row r="293" spans="1:100" x14ac:dyDescent="0.2">
      <c r="A293" s="7" t="s">
        <v>137</v>
      </c>
      <c r="B293" s="1">
        <v>137</v>
      </c>
      <c r="C293" s="2" t="s">
        <v>36</v>
      </c>
      <c r="D293" s="36" t="s">
        <v>37</v>
      </c>
      <c r="E293" s="35"/>
      <c r="F293" s="35"/>
      <c r="G293" s="1" t="s">
        <v>26</v>
      </c>
      <c r="H293" s="1">
        <v>7</v>
      </c>
      <c r="I293" s="18">
        <v>135.15</v>
      </c>
      <c r="J293" s="18">
        <v>41900</v>
      </c>
      <c r="K293" s="2">
        <v>0</v>
      </c>
      <c r="L293" s="2" t="s">
        <v>3</v>
      </c>
      <c r="M293" s="8" t="s">
        <v>0</v>
      </c>
      <c r="N293" s="8" t="s">
        <v>9</v>
      </c>
      <c r="O293" s="7" t="s">
        <v>138</v>
      </c>
      <c r="P293" s="7" t="s">
        <v>0</v>
      </c>
      <c r="Q293" s="28" t="s">
        <v>139</v>
      </c>
      <c r="R293" s="7" t="s">
        <v>140</v>
      </c>
      <c r="S293" s="7" t="s">
        <v>96</v>
      </c>
      <c r="V293" s="8">
        <v>135.15</v>
      </c>
      <c r="W293" s="8"/>
      <c r="X293" s="15">
        <v>44954</v>
      </c>
      <c r="Y293" s="15">
        <v>44954</v>
      </c>
      <c r="Z293" s="17" t="s">
        <v>201</v>
      </c>
      <c r="AA293" s="118">
        <v>41000</v>
      </c>
      <c r="AB293" s="7">
        <v>33</v>
      </c>
      <c r="AC293" s="7">
        <v>14</v>
      </c>
      <c r="AD293" s="15">
        <v>45427</v>
      </c>
      <c r="AE293" s="50">
        <v>1000</v>
      </c>
      <c r="AF293" s="50"/>
      <c r="AG293" s="7" t="s">
        <v>72</v>
      </c>
      <c r="AH293" s="87">
        <v>45428</v>
      </c>
      <c r="AI293" s="82">
        <v>9499094</v>
      </c>
      <c r="AJ293" s="20" t="s">
        <v>447</v>
      </c>
      <c r="AK293" s="20" t="s">
        <v>451</v>
      </c>
      <c r="AL293" s="20">
        <v>1000</v>
      </c>
      <c r="AM293" s="20"/>
      <c r="AN293" s="20" t="s">
        <v>462</v>
      </c>
      <c r="AO293" s="20"/>
      <c r="AP293" s="7"/>
      <c r="AQ293" s="7"/>
      <c r="AR293" s="7"/>
      <c r="AS293" s="7"/>
      <c r="AT293" s="7"/>
      <c r="AU293" s="7"/>
      <c r="AV293" s="7"/>
      <c r="AW293" s="15">
        <v>45428</v>
      </c>
      <c r="AX293" s="28">
        <v>2650</v>
      </c>
      <c r="BA293" s="20">
        <v>1000</v>
      </c>
      <c r="BB293" s="20"/>
      <c r="BD293" s="7"/>
      <c r="CS293" s="9">
        <f t="shared" si="25"/>
        <v>1000</v>
      </c>
      <c r="CT293" s="20">
        <f t="shared" si="26"/>
        <v>1000</v>
      </c>
      <c r="CU293" s="20">
        <f t="shared" si="27"/>
        <v>0</v>
      </c>
      <c r="CV293" s="24">
        <f t="shared" si="28"/>
        <v>0</v>
      </c>
    </row>
    <row r="294" spans="1:100" x14ac:dyDescent="0.2">
      <c r="A294" s="7" t="s">
        <v>137</v>
      </c>
      <c r="B294" s="1">
        <v>137</v>
      </c>
      <c r="C294" s="2" t="s">
        <v>36</v>
      </c>
      <c r="D294" s="36" t="s">
        <v>37</v>
      </c>
      <c r="E294" s="35"/>
      <c r="F294" s="35"/>
      <c r="G294" s="1" t="s">
        <v>26</v>
      </c>
      <c r="H294" s="1">
        <v>7</v>
      </c>
      <c r="I294" s="18">
        <v>135.15</v>
      </c>
      <c r="J294" s="18">
        <v>41900</v>
      </c>
      <c r="K294" s="2">
        <v>0</v>
      </c>
      <c r="L294" s="2" t="s">
        <v>3</v>
      </c>
      <c r="M294" s="8" t="s">
        <v>0</v>
      </c>
      <c r="N294" s="8" t="s">
        <v>9</v>
      </c>
      <c r="O294" s="7" t="s">
        <v>138</v>
      </c>
      <c r="P294" s="7" t="s">
        <v>0</v>
      </c>
      <c r="Q294" s="28" t="s">
        <v>139</v>
      </c>
      <c r="R294" s="7" t="s">
        <v>140</v>
      </c>
      <c r="S294" s="7" t="s">
        <v>96</v>
      </c>
      <c r="V294" s="8">
        <v>135.15</v>
      </c>
      <c r="W294" s="8"/>
      <c r="X294" s="15">
        <v>44954</v>
      </c>
      <c r="Y294" s="15">
        <v>44954</v>
      </c>
      <c r="Z294" s="17" t="s">
        <v>201</v>
      </c>
      <c r="AA294" s="118">
        <v>41000</v>
      </c>
      <c r="AB294" s="7">
        <v>33</v>
      </c>
      <c r="AC294" s="7">
        <v>15</v>
      </c>
      <c r="AD294" s="15">
        <v>45458</v>
      </c>
      <c r="AE294" s="50">
        <v>1000</v>
      </c>
      <c r="AF294" s="50"/>
      <c r="AG294" s="7" t="s">
        <v>72</v>
      </c>
      <c r="AH294" s="87">
        <v>45455</v>
      </c>
      <c r="AI294" s="82">
        <v>9499094</v>
      </c>
      <c r="AJ294" s="20" t="s">
        <v>447</v>
      </c>
      <c r="AK294" s="20" t="s">
        <v>452</v>
      </c>
      <c r="AL294" s="20">
        <v>1000</v>
      </c>
      <c r="AM294" s="20"/>
      <c r="AN294" s="20" t="s">
        <v>463</v>
      </c>
      <c r="AO294" s="20"/>
      <c r="AP294" s="7"/>
      <c r="AQ294" s="7"/>
      <c r="AR294" s="7"/>
      <c r="AS294" s="7"/>
      <c r="AT294" s="7"/>
      <c r="AU294" s="7"/>
      <c r="AV294" s="7"/>
      <c r="AW294" s="15">
        <v>45455</v>
      </c>
      <c r="AX294" s="28">
        <v>2777</v>
      </c>
      <c r="BA294" s="20">
        <v>1000</v>
      </c>
      <c r="BB294" s="20"/>
      <c r="BD294" s="7"/>
      <c r="CS294" s="9">
        <f t="shared" si="25"/>
        <v>1000</v>
      </c>
      <c r="CT294" s="20">
        <f t="shared" si="26"/>
        <v>1000</v>
      </c>
      <c r="CU294" s="20">
        <f t="shared" si="27"/>
        <v>0</v>
      </c>
      <c r="CV294" s="24">
        <f t="shared" si="28"/>
        <v>0</v>
      </c>
    </row>
    <row r="295" spans="1:100" x14ac:dyDescent="0.2">
      <c r="A295" s="7" t="s">
        <v>137</v>
      </c>
      <c r="B295" s="1">
        <v>137</v>
      </c>
      <c r="C295" s="2" t="s">
        <v>36</v>
      </c>
      <c r="D295" s="36" t="s">
        <v>37</v>
      </c>
      <c r="E295" s="35"/>
      <c r="F295" s="35"/>
      <c r="G295" s="1" t="s">
        <v>26</v>
      </c>
      <c r="H295" s="1">
        <v>7</v>
      </c>
      <c r="I295" s="18">
        <v>135.15</v>
      </c>
      <c r="J295" s="18">
        <v>41900</v>
      </c>
      <c r="K295" s="2">
        <v>0</v>
      </c>
      <c r="L295" s="2" t="s">
        <v>3</v>
      </c>
      <c r="M295" s="8" t="s">
        <v>0</v>
      </c>
      <c r="N295" s="8" t="s">
        <v>9</v>
      </c>
      <c r="O295" s="7" t="s">
        <v>138</v>
      </c>
      <c r="P295" s="7" t="s">
        <v>0</v>
      </c>
      <c r="Q295" s="28" t="s">
        <v>139</v>
      </c>
      <c r="R295" s="7" t="s">
        <v>140</v>
      </c>
      <c r="S295" s="7" t="s">
        <v>96</v>
      </c>
      <c r="V295" s="8">
        <v>135.15</v>
      </c>
      <c r="W295" s="8"/>
      <c r="X295" s="15">
        <v>44954</v>
      </c>
      <c r="Y295" s="15">
        <v>44954</v>
      </c>
      <c r="Z295" s="17" t="s">
        <v>201</v>
      </c>
      <c r="AA295" s="118">
        <v>41000</v>
      </c>
      <c r="AB295" s="7">
        <v>33</v>
      </c>
      <c r="AC295" s="7">
        <v>16</v>
      </c>
      <c r="AD295" s="15">
        <v>45488</v>
      </c>
      <c r="AE295" s="50">
        <v>1000</v>
      </c>
      <c r="AF295" s="50"/>
      <c r="AG295" s="7" t="s">
        <v>72</v>
      </c>
      <c r="AH295" s="87">
        <v>45488</v>
      </c>
      <c r="AI295" s="82">
        <v>9499094</v>
      </c>
      <c r="AJ295" s="20" t="s">
        <v>447</v>
      </c>
      <c r="AK295" s="20" t="s">
        <v>453</v>
      </c>
      <c r="AL295" s="20">
        <v>1000</v>
      </c>
      <c r="AM295" s="20"/>
      <c r="AN295" s="20" t="s">
        <v>464</v>
      </c>
      <c r="AO295" s="20"/>
      <c r="AP295" s="7"/>
      <c r="AQ295" s="7"/>
      <c r="AR295" s="7"/>
      <c r="AS295" s="7"/>
      <c r="AT295" s="7"/>
      <c r="AU295" s="7"/>
      <c r="AV295" s="7"/>
      <c r="AW295" s="15">
        <v>45488</v>
      </c>
      <c r="AX295" s="28">
        <v>2910</v>
      </c>
      <c r="BA295" s="20">
        <v>1000</v>
      </c>
      <c r="BB295" s="20"/>
      <c r="BD295" s="7"/>
      <c r="CS295" s="9">
        <f t="shared" si="25"/>
        <v>1000</v>
      </c>
      <c r="CT295" s="20">
        <f t="shared" si="26"/>
        <v>1000</v>
      </c>
      <c r="CU295" s="20">
        <f t="shared" si="27"/>
        <v>0</v>
      </c>
      <c r="CV295" s="24">
        <f t="shared" si="28"/>
        <v>0</v>
      </c>
    </row>
    <row r="296" spans="1:100" x14ac:dyDescent="0.2">
      <c r="A296" s="7" t="s">
        <v>137</v>
      </c>
      <c r="B296" s="1">
        <v>137</v>
      </c>
      <c r="C296" s="2" t="s">
        <v>36</v>
      </c>
      <c r="D296" s="36" t="s">
        <v>37</v>
      </c>
      <c r="E296" s="35"/>
      <c r="F296" s="35"/>
      <c r="G296" s="1" t="s">
        <v>26</v>
      </c>
      <c r="H296" s="1">
        <v>7</v>
      </c>
      <c r="I296" s="18">
        <v>135.15</v>
      </c>
      <c r="J296" s="18">
        <v>41900</v>
      </c>
      <c r="K296" s="2">
        <v>0</v>
      </c>
      <c r="L296" s="2" t="s">
        <v>3</v>
      </c>
      <c r="M296" s="8" t="s">
        <v>0</v>
      </c>
      <c r="N296" s="8" t="s">
        <v>9</v>
      </c>
      <c r="O296" s="7" t="s">
        <v>138</v>
      </c>
      <c r="P296" s="7" t="s">
        <v>0</v>
      </c>
      <c r="Q296" s="28" t="s">
        <v>139</v>
      </c>
      <c r="R296" s="7" t="s">
        <v>140</v>
      </c>
      <c r="S296" s="7" t="s">
        <v>96</v>
      </c>
      <c r="V296" s="8">
        <v>135.15</v>
      </c>
      <c r="W296" s="8"/>
      <c r="X296" s="15">
        <v>44954</v>
      </c>
      <c r="Y296" s="15">
        <v>44954</v>
      </c>
      <c r="Z296" s="17" t="s">
        <v>201</v>
      </c>
      <c r="AA296" s="118">
        <v>41000</v>
      </c>
      <c r="AB296" s="7">
        <v>33</v>
      </c>
      <c r="AC296" s="7">
        <v>17</v>
      </c>
      <c r="AD296" s="15">
        <v>45519</v>
      </c>
      <c r="AE296" s="50">
        <v>1000</v>
      </c>
      <c r="AF296" s="50"/>
      <c r="AG296" s="7" t="s">
        <v>72</v>
      </c>
      <c r="AH296" s="87">
        <v>45520</v>
      </c>
      <c r="AI296" s="82">
        <v>9499094</v>
      </c>
      <c r="AJ296" s="20" t="s">
        <v>447</v>
      </c>
      <c r="AK296" s="20" t="s">
        <v>454</v>
      </c>
      <c r="AL296" s="20">
        <v>1000</v>
      </c>
      <c r="AM296" s="20"/>
      <c r="AN296" s="20" t="s">
        <v>465</v>
      </c>
      <c r="AO296" s="20"/>
      <c r="AP296" s="7"/>
      <c r="AQ296" s="7"/>
      <c r="AR296" s="7"/>
      <c r="AS296" s="7"/>
      <c r="AT296" s="7"/>
      <c r="AU296" s="7"/>
      <c r="AV296" s="7"/>
      <c r="AW296" s="15">
        <v>45519</v>
      </c>
      <c r="AX296" s="28">
        <v>3054</v>
      </c>
      <c r="BA296" s="20">
        <v>1000</v>
      </c>
      <c r="BB296" s="20"/>
      <c r="BD296" s="7"/>
      <c r="CS296" s="9">
        <f t="shared" si="25"/>
        <v>1000</v>
      </c>
      <c r="CT296" s="20">
        <f t="shared" si="26"/>
        <v>1000</v>
      </c>
      <c r="CU296" s="20">
        <f t="shared" si="27"/>
        <v>0</v>
      </c>
      <c r="CV296" s="24">
        <f t="shared" si="28"/>
        <v>0</v>
      </c>
    </row>
    <row r="297" spans="1:100" x14ac:dyDescent="0.2">
      <c r="A297" s="7" t="s">
        <v>137</v>
      </c>
      <c r="B297" s="1">
        <v>137</v>
      </c>
      <c r="C297" s="2" t="s">
        <v>36</v>
      </c>
      <c r="D297" s="36" t="s">
        <v>37</v>
      </c>
      <c r="E297" s="35"/>
      <c r="F297" s="35"/>
      <c r="G297" s="1" t="s">
        <v>26</v>
      </c>
      <c r="H297" s="1">
        <v>7</v>
      </c>
      <c r="I297" s="18">
        <v>135.15</v>
      </c>
      <c r="J297" s="18">
        <v>41900</v>
      </c>
      <c r="K297" s="2">
        <v>0</v>
      </c>
      <c r="L297" s="2" t="s">
        <v>3</v>
      </c>
      <c r="M297" s="8" t="s">
        <v>0</v>
      </c>
      <c r="N297" s="8" t="s">
        <v>9</v>
      </c>
      <c r="O297" s="7" t="s">
        <v>138</v>
      </c>
      <c r="P297" s="7" t="s">
        <v>0</v>
      </c>
      <c r="Q297" s="28" t="s">
        <v>139</v>
      </c>
      <c r="R297" s="7" t="s">
        <v>140</v>
      </c>
      <c r="S297" s="7" t="s">
        <v>96</v>
      </c>
      <c r="V297" s="8">
        <v>135.15</v>
      </c>
      <c r="W297" s="8"/>
      <c r="X297" s="15">
        <v>44954</v>
      </c>
      <c r="Y297" s="15">
        <v>44954</v>
      </c>
      <c r="Z297" s="17" t="s">
        <v>201</v>
      </c>
      <c r="AA297" s="118">
        <v>41000</v>
      </c>
      <c r="AB297" s="7">
        <v>33</v>
      </c>
      <c r="AC297" s="7">
        <v>18</v>
      </c>
      <c r="AD297" s="15">
        <v>45550</v>
      </c>
      <c r="AE297" s="50">
        <v>1000</v>
      </c>
      <c r="AF297" s="50"/>
      <c r="AG297" s="7" t="s">
        <v>72</v>
      </c>
      <c r="AH297" s="87">
        <v>45552</v>
      </c>
      <c r="AI297" s="82">
        <v>9499094</v>
      </c>
      <c r="AJ297" s="20" t="s">
        <v>447</v>
      </c>
      <c r="AK297" s="20" t="s">
        <v>455</v>
      </c>
      <c r="AL297" s="20">
        <v>1000</v>
      </c>
      <c r="AM297" s="20"/>
      <c r="AN297" s="20" t="s">
        <v>466</v>
      </c>
      <c r="AO297" s="20"/>
      <c r="AP297" s="7"/>
      <c r="AQ297" s="7"/>
      <c r="AR297" s="7"/>
      <c r="AS297" s="7"/>
      <c r="AT297" s="7"/>
      <c r="AU297" s="7"/>
      <c r="AV297" s="7"/>
      <c r="AW297" s="15">
        <v>45549</v>
      </c>
      <c r="AX297" s="28" t="s">
        <v>503</v>
      </c>
      <c r="BA297" s="20">
        <v>1000</v>
      </c>
      <c r="BB297" s="20"/>
      <c r="BD297" s="7"/>
      <c r="CS297" s="9">
        <f t="shared" si="25"/>
        <v>1000</v>
      </c>
      <c r="CT297" s="20">
        <f t="shared" si="26"/>
        <v>1000</v>
      </c>
      <c r="CU297" s="20">
        <f t="shared" si="27"/>
        <v>0</v>
      </c>
      <c r="CV297" s="24">
        <f t="shared" si="28"/>
        <v>0</v>
      </c>
    </row>
    <row r="298" spans="1:100" x14ac:dyDescent="0.2">
      <c r="A298" s="7" t="s">
        <v>137</v>
      </c>
      <c r="B298" s="1">
        <v>137</v>
      </c>
      <c r="C298" s="2" t="s">
        <v>36</v>
      </c>
      <c r="D298" s="36" t="s">
        <v>37</v>
      </c>
      <c r="E298" s="35"/>
      <c r="F298" s="35"/>
      <c r="G298" s="1" t="s">
        <v>26</v>
      </c>
      <c r="H298" s="1">
        <v>7</v>
      </c>
      <c r="I298" s="18">
        <v>135.15</v>
      </c>
      <c r="J298" s="18">
        <v>41900</v>
      </c>
      <c r="K298" s="2">
        <v>0</v>
      </c>
      <c r="L298" s="2" t="s">
        <v>3</v>
      </c>
      <c r="M298" s="8" t="s">
        <v>0</v>
      </c>
      <c r="N298" s="8" t="s">
        <v>9</v>
      </c>
      <c r="O298" s="7" t="s">
        <v>138</v>
      </c>
      <c r="P298" s="7" t="s">
        <v>0</v>
      </c>
      <c r="Q298" s="28" t="s">
        <v>139</v>
      </c>
      <c r="R298" s="7" t="s">
        <v>140</v>
      </c>
      <c r="S298" s="7" t="s">
        <v>96</v>
      </c>
      <c r="V298" s="8">
        <v>135.15</v>
      </c>
      <c r="W298" s="8"/>
      <c r="X298" s="15">
        <v>44954</v>
      </c>
      <c r="Y298" s="15">
        <v>44954</v>
      </c>
      <c r="Z298" s="17" t="s">
        <v>201</v>
      </c>
      <c r="AA298" s="118">
        <v>41000</v>
      </c>
      <c r="AB298" s="7">
        <v>33</v>
      </c>
      <c r="AC298" s="7">
        <v>19</v>
      </c>
      <c r="AD298" s="15">
        <v>45580</v>
      </c>
      <c r="AE298" s="50">
        <v>1000</v>
      </c>
      <c r="AF298" s="50"/>
      <c r="AG298" s="7" t="s">
        <v>72</v>
      </c>
      <c r="AH298" s="87">
        <v>45580</v>
      </c>
      <c r="AI298" s="82">
        <v>9499094</v>
      </c>
      <c r="AJ298" s="20" t="s">
        <v>447</v>
      </c>
      <c r="AK298" s="20" t="s">
        <v>456</v>
      </c>
      <c r="AL298" s="20">
        <v>1000</v>
      </c>
      <c r="AM298" s="20"/>
      <c r="AN298" s="20" t="s">
        <v>467</v>
      </c>
      <c r="AO298" s="20"/>
      <c r="AP298" s="7"/>
      <c r="AQ298" s="7"/>
      <c r="AR298" s="7"/>
      <c r="AS298" s="7"/>
      <c r="AT298" s="7"/>
      <c r="AU298" s="7"/>
      <c r="AV298" s="7"/>
      <c r="AW298" s="15">
        <v>45580</v>
      </c>
      <c r="AX298" s="28">
        <v>3285</v>
      </c>
      <c r="BA298" s="20">
        <v>1000</v>
      </c>
      <c r="BB298" s="20"/>
      <c r="BD298" s="7"/>
      <c r="CS298" s="9">
        <f t="shared" si="25"/>
        <v>1000</v>
      </c>
      <c r="CT298" s="20">
        <f t="shared" si="26"/>
        <v>1000</v>
      </c>
      <c r="CU298" s="20">
        <f t="shared" si="27"/>
        <v>0</v>
      </c>
      <c r="CV298" s="24">
        <f t="shared" si="28"/>
        <v>0</v>
      </c>
    </row>
    <row r="299" spans="1:100" x14ac:dyDescent="0.2">
      <c r="A299" s="7" t="s">
        <v>137</v>
      </c>
      <c r="B299" s="1">
        <v>137</v>
      </c>
      <c r="C299" s="2" t="s">
        <v>36</v>
      </c>
      <c r="D299" s="36" t="s">
        <v>37</v>
      </c>
      <c r="E299" s="35"/>
      <c r="F299" s="35"/>
      <c r="G299" s="1" t="s">
        <v>26</v>
      </c>
      <c r="H299" s="1">
        <v>7</v>
      </c>
      <c r="I299" s="18">
        <v>135.15</v>
      </c>
      <c r="J299" s="18">
        <v>41900</v>
      </c>
      <c r="K299" s="2">
        <v>0</v>
      </c>
      <c r="L299" s="2" t="s">
        <v>3</v>
      </c>
      <c r="M299" s="8" t="s">
        <v>0</v>
      </c>
      <c r="N299" s="8" t="s">
        <v>9</v>
      </c>
      <c r="O299" s="7" t="s">
        <v>138</v>
      </c>
      <c r="P299" s="7" t="s">
        <v>0</v>
      </c>
      <c r="Q299" s="28" t="s">
        <v>139</v>
      </c>
      <c r="R299" s="7" t="s">
        <v>140</v>
      </c>
      <c r="S299" s="7" t="s">
        <v>96</v>
      </c>
      <c r="V299" s="8">
        <v>135.15</v>
      </c>
      <c r="W299" s="8"/>
      <c r="X299" s="15">
        <v>44954</v>
      </c>
      <c r="Y299" s="15">
        <v>44954</v>
      </c>
      <c r="Z299" s="17" t="s">
        <v>201</v>
      </c>
      <c r="AA299" s="118">
        <v>41000</v>
      </c>
      <c r="AB299" s="7">
        <v>33</v>
      </c>
      <c r="AC299" s="7">
        <v>20</v>
      </c>
      <c r="AD299" s="15">
        <v>45611</v>
      </c>
      <c r="AE299" s="50">
        <v>1000</v>
      </c>
      <c r="AF299" s="50"/>
      <c r="AG299" s="7" t="s">
        <v>72</v>
      </c>
      <c r="AH299" s="87">
        <v>45614</v>
      </c>
      <c r="AI299" s="82">
        <v>9499094</v>
      </c>
      <c r="AJ299" s="20" t="s">
        <v>447</v>
      </c>
      <c r="AK299" s="20" t="s">
        <v>457</v>
      </c>
      <c r="AL299" s="20">
        <v>1000</v>
      </c>
      <c r="AM299" s="20"/>
      <c r="AN299" s="20" t="s">
        <v>468</v>
      </c>
      <c r="AO299" s="20"/>
      <c r="AP299" s="7"/>
      <c r="AQ299" s="7"/>
      <c r="AR299" s="7"/>
      <c r="AS299" s="7"/>
      <c r="AT299" s="7"/>
      <c r="AU299" s="7"/>
      <c r="AV299" s="7"/>
      <c r="AW299" s="15">
        <v>45614</v>
      </c>
      <c r="AX299" s="28">
        <v>3412</v>
      </c>
      <c r="BA299" s="20">
        <v>1000</v>
      </c>
      <c r="BB299" s="20"/>
      <c r="BD299" s="7"/>
      <c r="CS299" s="9">
        <f t="shared" si="25"/>
        <v>1000</v>
      </c>
      <c r="CT299" s="20">
        <f t="shared" si="26"/>
        <v>1000</v>
      </c>
      <c r="CU299" s="20">
        <f t="shared" si="27"/>
        <v>0</v>
      </c>
      <c r="CV299" s="24">
        <f t="shared" si="28"/>
        <v>0</v>
      </c>
    </row>
    <row r="300" spans="1:100" x14ac:dyDescent="0.2">
      <c r="A300" s="7" t="s">
        <v>137</v>
      </c>
      <c r="B300" s="1">
        <v>137</v>
      </c>
      <c r="C300" s="2" t="s">
        <v>36</v>
      </c>
      <c r="D300" s="36" t="s">
        <v>37</v>
      </c>
      <c r="E300" s="35"/>
      <c r="F300" s="35"/>
      <c r="G300" s="1" t="s">
        <v>26</v>
      </c>
      <c r="H300" s="1">
        <v>7</v>
      </c>
      <c r="I300" s="18">
        <v>135.15</v>
      </c>
      <c r="J300" s="18">
        <v>41900</v>
      </c>
      <c r="K300" s="2">
        <v>0</v>
      </c>
      <c r="L300" s="2" t="s">
        <v>3</v>
      </c>
      <c r="M300" s="8" t="s">
        <v>0</v>
      </c>
      <c r="N300" s="8" t="s">
        <v>9</v>
      </c>
      <c r="O300" s="7" t="s">
        <v>138</v>
      </c>
      <c r="P300" s="7" t="s">
        <v>0</v>
      </c>
      <c r="Q300" s="28" t="s">
        <v>139</v>
      </c>
      <c r="R300" s="7" t="s">
        <v>140</v>
      </c>
      <c r="S300" s="7" t="s">
        <v>96</v>
      </c>
      <c r="V300" s="8">
        <v>135.15</v>
      </c>
      <c r="W300" s="8"/>
      <c r="X300" s="15">
        <v>44954</v>
      </c>
      <c r="Y300" s="15">
        <v>44954</v>
      </c>
      <c r="Z300" s="17" t="s">
        <v>201</v>
      </c>
      <c r="AA300" s="118">
        <v>41000</v>
      </c>
      <c r="AB300" s="7">
        <v>33</v>
      </c>
      <c r="AC300" s="7">
        <v>21</v>
      </c>
      <c r="AD300" s="15">
        <v>45641</v>
      </c>
      <c r="AE300" s="50">
        <v>1000</v>
      </c>
      <c r="AF300" s="50"/>
      <c r="AG300" s="7" t="s">
        <v>72</v>
      </c>
      <c r="AH300" s="87">
        <v>45633</v>
      </c>
      <c r="AI300" s="82">
        <v>9499094</v>
      </c>
      <c r="AJ300" s="20" t="s">
        <v>447</v>
      </c>
      <c r="AK300" s="20" t="s">
        <v>458</v>
      </c>
      <c r="AL300" s="20">
        <v>1000</v>
      </c>
      <c r="AM300" s="20"/>
      <c r="AN300" s="20" t="s">
        <v>469</v>
      </c>
      <c r="AO300" s="20"/>
      <c r="AP300" s="7"/>
      <c r="AQ300" s="7"/>
      <c r="AR300" s="7"/>
      <c r="AS300" s="7"/>
      <c r="AT300" s="7"/>
      <c r="AU300" s="7"/>
      <c r="AV300" s="7"/>
      <c r="AW300" s="15">
        <v>45633</v>
      </c>
      <c r="AX300" s="28">
        <v>3489</v>
      </c>
      <c r="BA300" s="20">
        <v>1000</v>
      </c>
      <c r="BB300" s="20"/>
      <c r="BD300" s="7"/>
      <c r="CS300" s="9">
        <f t="shared" si="25"/>
        <v>1000</v>
      </c>
      <c r="CT300" s="20">
        <f t="shared" si="26"/>
        <v>1000</v>
      </c>
      <c r="CU300" s="20">
        <f t="shared" si="27"/>
        <v>0</v>
      </c>
      <c r="CV300" s="24">
        <f t="shared" si="28"/>
        <v>0</v>
      </c>
    </row>
    <row r="301" spans="1:100" x14ac:dyDescent="0.2">
      <c r="A301" s="7" t="s">
        <v>137</v>
      </c>
      <c r="B301" s="1">
        <v>137</v>
      </c>
      <c r="C301" s="2" t="s">
        <v>36</v>
      </c>
      <c r="D301" s="36" t="s">
        <v>37</v>
      </c>
      <c r="E301" s="35"/>
      <c r="F301" s="35"/>
      <c r="G301" s="1" t="s">
        <v>26</v>
      </c>
      <c r="H301" s="1">
        <v>7</v>
      </c>
      <c r="I301" s="18">
        <v>135.15</v>
      </c>
      <c r="J301" s="18">
        <v>41900</v>
      </c>
      <c r="K301" s="2">
        <v>0</v>
      </c>
      <c r="L301" s="2" t="s">
        <v>3</v>
      </c>
      <c r="M301" s="8" t="s">
        <v>0</v>
      </c>
      <c r="N301" s="8" t="s">
        <v>9</v>
      </c>
      <c r="O301" s="7" t="s">
        <v>138</v>
      </c>
      <c r="P301" s="7" t="s">
        <v>0</v>
      </c>
      <c r="Q301" s="28" t="s">
        <v>139</v>
      </c>
      <c r="R301" s="7" t="s">
        <v>140</v>
      </c>
      <c r="S301" s="7" t="s">
        <v>96</v>
      </c>
      <c r="V301" s="8">
        <v>135.15</v>
      </c>
      <c r="W301" s="8"/>
      <c r="X301" s="15">
        <v>44954</v>
      </c>
      <c r="Y301" s="15">
        <v>44954</v>
      </c>
      <c r="Z301" s="17" t="s">
        <v>201</v>
      </c>
      <c r="AA301" s="118">
        <v>41000</v>
      </c>
      <c r="AB301" s="7">
        <v>33</v>
      </c>
      <c r="AC301" s="7">
        <v>22</v>
      </c>
      <c r="AD301" s="15">
        <v>45672</v>
      </c>
      <c r="AE301" s="50">
        <v>1000</v>
      </c>
      <c r="AF301" s="50"/>
      <c r="AG301" s="7" t="s">
        <v>72</v>
      </c>
      <c r="AH301" s="87">
        <v>45674</v>
      </c>
      <c r="AI301" s="82">
        <v>9499094</v>
      </c>
      <c r="AJ301" s="20" t="s">
        <v>447</v>
      </c>
      <c r="AK301" s="20" t="s">
        <v>470</v>
      </c>
      <c r="AL301" s="20">
        <v>1000</v>
      </c>
      <c r="AM301" s="20"/>
      <c r="AN301" s="20" t="s">
        <v>479</v>
      </c>
      <c r="AO301" s="20"/>
      <c r="AP301" s="7"/>
      <c r="AQ301" s="7"/>
      <c r="AR301" s="7"/>
      <c r="AS301" s="7"/>
      <c r="AT301" s="7"/>
      <c r="AU301" s="7"/>
      <c r="AV301" s="7"/>
      <c r="AW301" s="15">
        <v>45673</v>
      </c>
      <c r="AX301" s="28" t="s">
        <v>504</v>
      </c>
      <c r="AY301" s="7">
        <v>57</v>
      </c>
      <c r="AZ301" s="7">
        <v>3.78</v>
      </c>
      <c r="BA301" s="20">
        <f>+AY301/AZ301</f>
        <v>15.079365079365081</v>
      </c>
      <c r="BB301" s="20"/>
      <c r="BC301" s="15">
        <v>45673</v>
      </c>
      <c r="BD301" s="7">
        <v>454240</v>
      </c>
      <c r="BE301" s="77">
        <v>3723</v>
      </c>
      <c r="BF301" s="7">
        <v>3.78</v>
      </c>
      <c r="BG301" s="20">
        <f>+BE301/BF301</f>
        <v>984.92063492063494</v>
      </c>
      <c r="CS301" s="9">
        <f t="shared" si="25"/>
        <v>1000</v>
      </c>
      <c r="CT301" s="20">
        <f t="shared" si="26"/>
        <v>1000</v>
      </c>
      <c r="CU301" s="20">
        <f t="shared" si="27"/>
        <v>0</v>
      </c>
      <c r="CV301" s="24">
        <f t="shared" si="28"/>
        <v>0</v>
      </c>
    </row>
    <row r="302" spans="1:100" x14ac:dyDescent="0.2">
      <c r="A302" s="7" t="s">
        <v>137</v>
      </c>
      <c r="B302" s="1">
        <v>137</v>
      </c>
      <c r="C302" s="2" t="s">
        <v>36</v>
      </c>
      <c r="D302" s="36" t="s">
        <v>37</v>
      </c>
      <c r="E302" s="35"/>
      <c r="F302" s="35"/>
      <c r="G302" s="1" t="s">
        <v>26</v>
      </c>
      <c r="H302" s="1">
        <v>7</v>
      </c>
      <c r="I302" s="18">
        <v>135.15</v>
      </c>
      <c r="J302" s="18">
        <v>41900</v>
      </c>
      <c r="K302" s="2">
        <v>0</v>
      </c>
      <c r="L302" s="2" t="s">
        <v>3</v>
      </c>
      <c r="M302" s="8" t="s">
        <v>0</v>
      </c>
      <c r="N302" s="8" t="s">
        <v>9</v>
      </c>
      <c r="O302" s="7" t="s">
        <v>138</v>
      </c>
      <c r="P302" s="7" t="s">
        <v>0</v>
      </c>
      <c r="Q302" s="28" t="s">
        <v>139</v>
      </c>
      <c r="R302" s="7" t="s">
        <v>140</v>
      </c>
      <c r="S302" s="7" t="s">
        <v>96</v>
      </c>
      <c r="V302" s="8">
        <v>135.15</v>
      </c>
      <c r="W302" s="8"/>
      <c r="X302" s="15">
        <v>44954</v>
      </c>
      <c r="Y302" s="15">
        <v>44954</v>
      </c>
      <c r="Z302" s="17" t="s">
        <v>201</v>
      </c>
      <c r="AA302" s="118">
        <v>41000</v>
      </c>
      <c r="AB302" s="7">
        <v>33</v>
      </c>
      <c r="AC302" s="7">
        <v>23</v>
      </c>
      <c r="AD302" s="15">
        <v>45703</v>
      </c>
      <c r="AE302" s="50">
        <v>1000</v>
      </c>
      <c r="AF302" s="50"/>
      <c r="AG302" s="7" t="s">
        <v>72</v>
      </c>
      <c r="AH302" s="87">
        <v>45705</v>
      </c>
      <c r="AI302" s="82">
        <v>9499094</v>
      </c>
      <c r="AJ302" s="20" t="s">
        <v>447</v>
      </c>
      <c r="AK302" s="20" t="s">
        <v>471</v>
      </c>
      <c r="AL302" s="20">
        <v>1000</v>
      </c>
      <c r="AM302" s="20"/>
      <c r="AN302" s="20" t="s">
        <v>480</v>
      </c>
      <c r="AO302" s="20"/>
      <c r="AP302" s="7"/>
      <c r="AQ302" s="7"/>
      <c r="AR302" s="7"/>
      <c r="AS302" s="7"/>
      <c r="AT302" s="7"/>
      <c r="AU302" s="7"/>
      <c r="AV302" s="7"/>
      <c r="AW302" s="15">
        <v>45705</v>
      </c>
      <c r="AX302" s="28">
        <v>3762</v>
      </c>
      <c r="BA302" s="20">
        <v>1000</v>
      </c>
      <c r="BB302" s="20"/>
      <c r="BD302" s="7"/>
      <c r="CS302" s="9">
        <f t="shared" si="25"/>
        <v>1000</v>
      </c>
      <c r="CT302" s="20">
        <f t="shared" si="26"/>
        <v>1000</v>
      </c>
      <c r="CU302" s="20">
        <f t="shared" si="27"/>
        <v>0</v>
      </c>
      <c r="CV302" s="24">
        <f t="shared" si="28"/>
        <v>0</v>
      </c>
    </row>
    <row r="303" spans="1:100" x14ac:dyDescent="0.2">
      <c r="A303" s="7" t="s">
        <v>137</v>
      </c>
      <c r="B303" s="1">
        <v>137</v>
      </c>
      <c r="C303" s="2" t="s">
        <v>36</v>
      </c>
      <c r="D303" s="36" t="s">
        <v>37</v>
      </c>
      <c r="E303" s="35"/>
      <c r="F303" s="35"/>
      <c r="G303" s="1" t="s">
        <v>26</v>
      </c>
      <c r="H303" s="1">
        <v>7</v>
      </c>
      <c r="I303" s="18">
        <v>135.15</v>
      </c>
      <c r="J303" s="18">
        <v>41900</v>
      </c>
      <c r="K303" s="2">
        <v>0</v>
      </c>
      <c r="L303" s="2" t="s">
        <v>3</v>
      </c>
      <c r="M303" s="8" t="s">
        <v>0</v>
      </c>
      <c r="N303" s="8" t="s">
        <v>9</v>
      </c>
      <c r="O303" s="7" t="s">
        <v>138</v>
      </c>
      <c r="P303" s="7" t="s">
        <v>0</v>
      </c>
      <c r="Q303" s="28" t="s">
        <v>139</v>
      </c>
      <c r="R303" s="7" t="s">
        <v>140</v>
      </c>
      <c r="S303" s="7" t="s">
        <v>96</v>
      </c>
      <c r="V303" s="8">
        <v>135.15</v>
      </c>
      <c r="W303" s="8"/>
      <c r="X303" s="15">
        <v>44954</v>
      </c>
      <c r="Y303" s="15">
        <v>44954</v>
      </c>
      <c r="Z303" s="17" t="s">
        <v>201</v>
      </c>
      <c r="AA303" s="118">
        <v>41000</v>
      </c>
      <c r="AB303" s="7">
        <v>33</v>
      </c>
      <c r="AC303" s="7">
        <v>24</v>
      </c>
      <c r="AD303" s="15">
        <v>45731</v>
      </c>
      <c r="AE303" s="50">
        <v>1000</v>
      </c>
      <c r="AF303" s="50"/>
      <c r="AG303" s="7" t="s">
        <v>72</v>
      </c>
      <c r="AH303" s="87">
        <v>45733</v>
      </c>
      <c r="AI303" s="82">
        <v>9499094</v>
      </c>
      <c r="AJ303" s="20" t="s">
        <v>447</v>
      </c>
      <c r="AK303" s="20" t="s">
        <v>472</v>
      </c>
      <c r="AL303" s="20">
        <v>1000</v>
      </c>
      <c r="AM303" s="20"/>
      <c r="AN303" s="20" t="s">
        <v>481</v>
      </c>
      <c r="AO303" s="20"/>
      <c r="AP303" s="7"/>
      <c r="AQ303" s="7"/>
      <c r="AR303" s="7"/>
      <c r="AS303" s="7"/>
      <c r="AT303" s="7"/>
      <c r="AU303" s="7"/>
      <c r="AV303" s="7"/>
      <c r="AW303" s="15">
        <v>45731</v>
      </c>
      <c r="AX303" s="28">
        <v>3886</v>
      </c>
      <c r="BA303" s="20">
        <v>1000</v>
      </c>
      <c r="BB303" s="20"/>
      <c r="BD303" s="7"/>
      <c r="CS303" s="9">
        <f t="shared" si="25"/>
        <v>1000</v>
      </c>
      <c r="CT303" s="20">
        <f t="shared" si="26"/>
        <v>1000</v>
      </c>
      <c r="CU303" s="20">
        <f t="shared" si="27"/>
        <v>0</v>
      </c>
      <c r="CV303" s="24">
        <f t="shared" si="28"/>
        <v>0</v>
      </c>
    </row>
    <row r="304" spans="1:100" x14ac:dyDescent="0.2">
      <c r="A304" s="7" t="s">
        <v>137</v>
      </c>
      <c r="B304" s="1">
        <v>137</v>
      </c>
      <c r="C304" s="2" t="s">
        <v>36</v>
      </c>
      <c r="D304" s="36" t="s">
        <v>37</v>
      </c>
      <c r="E304" s="35"/>
      <c r="F304" s="35"/>
      <c r="G304" s="1" t="s">
        <v>26</v>
      </c>
      <c r="H304" s="1">
        <v>7</v>
      </c>
      <c r="I304" s="18">
        <v>135.15</v>
      </c>
      <c r="J304" s="18">
        <v>41900</v>
      </c>
      <c r="K304" s="2">
        <v>0</v>
      </c>
      <c r="L304" s="2" t="s">
        <v>3</v>
      </c>
      <c r="M304" s="8" t="s">
        <v>0</v>
      </c>
      <c r="N304" s="8" t="s">
        <v>9</v>
      </c>
      <c r="O304" s="7" t="s">
        <v>138</v>
      </c>
      <c r="P304" s="7" t="s">
        <v>0</v>
      </c>
      <c r="Q304" s="28" t="s">
        <v>139</v>
      </c>
      <c r="R304" s="7" t="s">
        <v>140</v>
      </c>
      <c r="S304" s="7" t="s">
        <v>96</v>
      </c>
      <c r="V304" s="8">
        <v>135.15</v>
      </c>
      <c r="W304" s="8"/>
      <c r="X304" s="15">
        <v>44954</v>
      </c>
      <c r="Y304" s="15">
        <v>44954</v>
      </c>
      <c r="Z304" s="17" t="s">
        <v>201</v>
      </c>
      <c r="AA304" s="118">
        <v>41000</v>
      </c>
      <c r="AB304" s="7">
        <v>33</v>
      </c>
      <c r="AC304" s="7">
        <v>25</v>
      </c>
      <c r="AD304" s="15">
        <v>45762</v>
      </c>
      <c r="AE304" s="50">
        <v>1000</v>
      </c>
      <c r="AF304" s="50"/>
      <c r="AG304" s="7" t="s">
        <v>72</v>
      </c>
      <c r="AH304" s="87">
        <v>45768</v>
      </c>
      <c r="AI304" s="82">
        <v>9499094</v>
      </c>
      <c r="AJ304" s="20" t="s">
        <v>447</v>
      </c>
      <c r="AK304" s="20" t="s">
        <v>473</v>
      </c>
      <c r="AL304" s="20">
        <v>1000</v>
      </c>
      <c r="AM304" s="20"/>
      <c r="AN304" s="20" t="s">
        <v>482</v>
      </c>
      <c r="AO304" s="20"/>
      <c r="AP304" s="7"/>
      <c r="AQ304" s="7"/>
      <c r="AR304" s="7"/>
      <c r="AS304" s="7"/>
      <c r="AT304" s="7"/>
      <c r="AU304" s="7"/>
      <c r="AV304" s="7"/>
      <c r="AW304" s="15">
        <v>45768</v>
      </c>
      <c r="AX304" s="28">
        <v>4033</v>
      </c>
      <c r="BA304" s="20">
        <v>1000</v>
      </c>
      <c r="BB304" s="20"/>
      <c r="BD304" s="7"/>
      <c r="CS304" s="9">
        <f t="shared" si="25"/>
        <v>1000</v>
      </c>
      <c r="CT304" s="20">
        <f t="shared" si="26"/>
        <v>1000</v>
      </c>
      <c r="CU304" s="20">
        <f t="shared" si="27"/>
        <v>0</v>
      </c>
      <c r="CV304" s="24">
        <f t="shared" si="28"/>
        <v>0</v>
      </c>
    </row>
    <row r="305" spans="1:100" x14ac:dyDescent="0.2">
      <c r="A305" s="7" t="s">
        <v>137</v>
      </c>
      <c r="B305" s="1">
        <v>137</v>
      </c>
      <c r="C305" s="2" t="s">
        <v>36</v>
      </c>
      <c r="D305" s="36" t="s">
        <v>37</v>
      </c>
      <c r="E305" s="35"/>
      <c r="F305" s="35"/>
      <c r="G305" s="1" t="s">
        <v>26</v>
      </c>
      <c r="H305" s="1">
        <v>7</v>
      </c>
      <c r="I305" s="18">
        <v>135.15</v>
      </c>
      <c r="J305" s="18">
        <v>41900</v>
      </c>
      <c r="K305" s="2">
        <v>0</v>
      </c>
      <c r="L305" s="2" t="s">
        <v>3</v>
      </c>
      <c r="M305" s="8" t="s">
        <v>0</v>
      </c>
      <c r="N305" s="8" t="s">
        <v>9</v>
      </c>
      <c r="O305" s="7" t="s">
        <v>138</v>
      </c>
      <c r="P305" s="7" t="s">
        <v>0</v>
      </c>
      <c r="Q305" s="28" t="s">
        <v>139</v>
      </c>
      <c r="R305" s="7" t="s">
        <v>140</v>
      </c>
      <c r="S305" s="7" t="s">
        <v>96</v>
      </c>
      <c r="V305" s="8">
        <v>135.15</v>
      </c>
      <c r="W305" s="8"/>
      <c r="X305" s="15">
        <v>44954</v>
      </c>
      <c r="Y305" s="15">
        <v>44954</v>
      </c>
      <c r="Z305" s="17" t="s">
        <v>201</v>
      </c>
      <c r="AA305" s="118">
        <v>41000</v>
      </c>
      <c r="AB305" s="7">
        <v>33</v>
      </c>
      <c r="AC305" s="7">
        <v>26</v>
      </c>
      <c r="AD305" s="15">
        <v>45792</v>
      </c>
      <c r="AE305" s="50">
        <v>1000</v>
      </c>
      <c r="AF305" s="50"/>
      <c r="AG305" s="7" t="s">
        <v>72</v>
      </c>
      <c r="AH305" s="87">
        <v>45796</v>
      </c>
      <c r="AI305" s="82">
        <v>9499094</v>
      </c>
      <c r="AJ305" s="20" t="s">
        <v>447</v>
      </c>
      <c r="AK305" s="20" t="s">
        <v>474</v>
      </c>
      <c r="AL305" s="20">
        <v>1000</v>
      </c>
      <c r="AM305" s="20"/>
      <c r="AN305" s="20" t="s">
        <v>483</v>
      </c>
      <c r="AO305" s="20"/>
      <c r="AP305" s="7"/>
      <c r="AQ305" s="7"/>
      <c r="AR305" s="7"/>
      <c r="AS305" s="7"/>
      <c r="AT305" s="7"/>
      <c r="AU305" s="7"/>
      <c r="AV305" s="7"/>
      <c r="AW305" s="15">
        <v>45794</v>
      </c>
      <c r="AX305" s="28">
        <v>4182</v>
      </c>
      <c r="BA305" s="20">
        <v>1000</v>
      </c>
      <c r="BB305" s="20"/>
      <c r="BD305" s="7"/>
      <c r="CS305" s="9">
        <f t="shared" si="25"/>
        <v>1000</v>
      </c>
      <c r="CT305" s="20">
        <f t="shared" si="26"/>
        <v>1000</v>
      </c>
      <c r="CU305" s="20">
        <f t="shared" si="27"/>
        <v>0</v>
      </c>
      <c r="CV305" s="24">
        <f t="shared" si="28"/>
        <v>0</v>
      </c>
    </row>
    <row r="306" spans="1:100" x14ac:dyDescent="0.2">
      <c r="A306" s="7" t="s">
        <v>137</v>
      </c>
      <c r="B306" s="1">
        <v>137</v>
      </c>
      <c r="C306" s="2" t="s">
        <v>36</v>
      </c>
      <c r="D306" s="36" t="s">
        <v>37</v>
      </c>
      <c r="E306" s="35"/>
      <c r="F306" s="35"/>
      <c r="G306" s="1" t="s">
        <v>26</v>
      </c>
      <c r="H306" s="1">
        <v>7</v>
      </c>
      <c r="I306" s="18">
        <v>135.15</v>
      </c>
      <c r="J306" s="18">
        <v>41900</v>
      </c>
      <c r="K306" s="2">
        <v>0</v>
      </c>
      <c r="L306" s="2" t="s">
        <v>3</v>
      </c>
      <c r="M306" s="8" t="s">
        <v>0</v>
      </c>
      <c r="N306" s="8" t="s">
        <v>9</v>
      </c>
      <c r="O306" s="7" t="s">
        <v>138</v>
      </c>
      <c r="P306" s="7" t="s">
        <v>0</v>
      </c>
      <c r="Q306" s="28" t="s">
        <v>139</v>
      </c>
      <c r="R306" s="7" t="s">
        <v>140</v>
      </c>
      <c r="S306" s="7" t="s">
        <v>96</v>
      </c>
      <c r="V306" s="8">
        <v>135.15</v>
      </c>
      <c r="W306" s="8"/>
      <c r="X306" s="15">
        <v>44954</v>
      </c>
      <c r="Y306" s="15">
        <v>44954</v>
      </c>
      <c r="Z306" s="17" t="s">
        <v>201</v>
      </c>
      <c r="AA306" s="118">
        <v>41000</v>
      </c>
      <c r="AB306" s="7">
        <v>33</v>
      </c>
      <c r="AC306" s="7">
        <v>27</v>
      </c>
      <c r="AD306" s="15">
        <v>45823</v>
      </c>
      <c r="AE306" s="50">
        <v>1000</v>
      </c>
      <c r="AF306" s="50"/>
      <c r="AG306" s="7" t="s">
        <v>72</v>
      </c>
      <c r="AH306" s="87">
        <v>45825</v>
      </c>
      <c r="AI306" s="82">
        <v>9499094</v>
      </c>
      <c r="AJ306" s="20" t="s">
        <v>447</v>
      </c>
      <c r="AK306" s="20" t="s">
        <v>475</v>
      </c>
      <c r="AL306" s="20">
        <v>1000</v>
      </c>
      <c r="AM306" s="20"/>
      <c r="AN306" s="20" t="s">
        <v>484</v>
      </c>
      <c r="AO306" s="20"/>
      <c r="AP306" s="7"/>
      <c r="AQ306" s="7"/>
      <c r="AR306" s="7"/>
      <c r="AS306" s="7"/>
      <c r="AT306" s="7"/>
      <c r="AU306" s="7"/>
      <c r="AV306" s="7"/>
      <c r="AW306" s="15">
        <v>45825</v>
      </c>
      <c r="AX306" s="28">
        <v>4309</v>
      </c>
      <c r="BA306" s="20">
        <v>1000</v>
      </c>
      <c r="BB306" s="20"/>
      <c r="BD306" s="7"/>
      <c r="CS306" s="9">
        <f t="shared" si="25"/>
        <v>1000</v>
      </c>
      <c r="CT306" s="20">
        <f t="shared" si="26"/>
        <v>1000</v>
      </c>
      <c r="CU306" s="20">
        <f t="shared" si="27"/>
        <v>0</v>
      </c>
      <c r="CV306" s="24">
        <f t="shared" si="28"/>
        <v>0</v>
      </c>
    </row>
    <row r="307" spans="1:100" x14ac:dyDescent="0.2">
      <c r="A307" s="7" t="s">
        <v>137</v>
      </c>
      <c r="B307" s="1">
        <v>137</v>
      </c>
      <c r="C307" s="2" t="s">
        <v>36</v>
      </c>
      <c r="D307" s="36" t="s">
        <v>37</v>
      </c>
      <c r="E307" s="35"/>
      <c r="F307" s="35"/>
      <c r="G307" s="1" t="s">
        <v>26</v>
      </c>
      <c r="H307" s="1">
        <v>7</v>
      </c>
      <c r="I307" s="18">
        <v>135.15</v>
      </c>
      <c r="J307" s="18">
        <v>41900</v>
      </c>
      <c r="K307" s="2">
        <v>0</v>
      </c>
      <c r="L307" s="2" t="s">
        <v>3</v>
      </c>
      <c r="M307" s="8" t="s">
        <v>0</v>
      </c>
      <c r="N307" s="8" t="s">
        <v>9</v>
      </c>
      <c r="O307" s="7" t="s">
        <v>138</v>
      </c>
      <c r="P307" s="7" t="s">
        <v>0</v>
      </c>
      <c r="Q307" s="28" t="s">
        <v>139</v>
      </c>
      <c r="R307" s="7" t="s">
        <v>140</v>
      </c>
      <c r="S307" s="7" t="s">
        <v>96</v>
      </c>
      <c r="V307" s="8">
        <v>135.15</v>
      </c>
      <c r="W307" s="8"/>
      <c r="X307" s="15">
        <v>44954</v>
      </c>
      <c r="Y307" s="15">
        <v>44954</v>
      </c>
      <c r="Z307" s="17" t="s">
        <v>201</v>
      </c>
      <c r="AA307" s="118">
        <v>41000</v>
      </c>
      <c r="AB307" s="7">
        <v>33</v>
      </c>
      <c r="AC307" s="7">
        <v>28</v>
      </c>
      <c r="AD307" s="15">
        <v>45853</v>
      </c>
      <c r="AE307" s="50">
        <v>1000</v>
      </c>
      <c r="AF307" s="50"/>
      <c r="AG307" s="7" t="s">
        <v>72</v>
      </c>
      <c r="AH307" s="87">
        <v>45855</v>
      </c>
      <c r="AI307" s="82">
        <v>9499094</v>
      </c>
      <c r="AJ307" s="20" t="s">
        <v>447</v>
      </c>
      <c r="AK307" s="20" t="s">
        <v>476</v>
      </c>
      <c r="AL307" s="20">
        <v>1000</v>
      </c>
      <c r="AM307" s="20"/>
      <c r="AN307" s="20" t="s">
        <v>485</v>
      </c>
      <c r="AO307" s="20"/>
      <c r="AP307" s="7"/>
      <c r="AQ307" s="7"/>
      <c r="AR307" s="7"/>
      <c r="AS307" s="7"/>
      <c r="AT307" s="7"/>
      <c r="AU307" s="7"/>
      <c r="AV307" s="7"/>
      <c r="AW307" s="15">
        <v>45855</v>
      </c>
      <c r="AX307" s="28">
        <v>4430</v>
      </c>
      <c r="BA307" s="20">
        <v>1000</v>
      </c>
      <c r="BB307" s="20"/>
      <c r="BD307" s="7"/>
      <c r="CS307" s="9">
        <f t="shared" si="25"/>
        <v>1000</v>
      </c>
      <c r="CT307" s="20">
        <f t="shared" si="26"/>
        <v>1000</v>
      </c>
      <c r="CU307" s="20">
        <f t="shared" si="27"/>
        <v>0</v>
      </c>
      <c r="CV307" s="24">
        <f t="shared" si="28"/>
        <v>0</v>
      </c>
    </row>
    <row r="308" spans="1:100" x14ac:dyDescent="0.2">
      <c r="A308" s="7" t="s">
        <v>137</v>
      </c>
      <c r="B308" s="1">
        <v>137</v>
      </c>
      <c r="C308" s="2" t="s">
        <v>36</v>
      </c>
      <c r="D308" s="36" t="s">
        <v>37</v>
      </c>
      <c r="E308" s="35"/>
      <c r="F308" s="35"/>
      <c r="G308" s="1" t="s">
        <v>26</v>
      </c>
      <c r="H308" s="1">
        <v>7</v>
      </c>
      <c r="I308" s="18">
        <v>135.15</v>
      </c>
      <c r="J308" s="18">
        <v>41900</v>
      </c>
      <c r="K308" s="2">
        <v>0</v>
      </c>
      <c r="L308" s="2" t="s">
        <v>3</v>
      </c>
      <c r="M308" s="8" t="s">
        <v>0</v>
      </c>
      <c r="N308" s="8" t="s">
        <v>9</v>
      </c>
      <c r="O308" s="7" t="s">
        <v>138</v>
      </c>
      <c r="P308" s="7" t="s">
        <v>0</v>
      </c>
      <c r="Q308" s="28" t="s">
        <v>139</v>
      </c>
      <c r="R308" s="7" t="s">
        <v>140</v>
      </c>
      <c r="S308" s="7" t="s">
        <v>96</v>
      </c>
      <c r="V308" s="8">
        <v>135.15</v>
      </c>
      <c r="W308" s="8"/>
      <c r="X308" s="15">
        <v>44954</v>
      </c>
      <c r="Y308" s="15">
        <v>44954</v>
      </c>
      <c r="Z308" s="17" t="s">
        <v>201</v>
      </c>
      <c r="AA308" s="118">
        <v>41000</v>
      </c>
      <c r="AB308" s="7">
        <v>33</v>
      </c>
      <c r="AC308" s="7">
        <v>29</v>
      </c>
      <c r="AD308" s="15">
        <v>45884</v>
      </c>
      <c r="AE308" s="50">
        <v>1000</v>
      </c>
      <c r="AF308" s="50"/>
      <c r="AG308" s="7" t="s">
        <v>72</v>
      </c>
      <c r="AH308" s="87">
        <v>45887</v>
      </c>
      <c r="AI308" s="82">
        <v>9499094</v>
      </c>
      <c r="AJ308" s="20" t="s">
        <v>447</v>
      </c>
      <c r="AK308" s="20" t="s">
        <v>477</v>
      </c>
      <c r="AL308" s="20">
        <v>1000</v>
      </c>
      <c r="AM308" s="20"/>
      <c r="AN308" s="20" t="s">
        <v>486</v>
      </c>
      <c r="AO308" s="20"/>
      <c r="AP308" s="7"/>
      <c r="AQ308" s="7"/>
      <c r="AR308" s="7"/>
      <c r="AS308" s="7"/>
      <c r="AT308" s="7"/>
      <c r="AU308" s="7"/>
      <c r="AV308" s="7"/>
      <c r="AW308" s="15">
        <v>45887</v>
      </c>
      <c r="AX308" s="28">
        <v>4579</v>
      </c>
      <c r="BA308" s="20">
        <v>1000</v>
      </c>
      <c r="BB308" s="20"/>
      <c r="BD308" s="7"/>
      <c r="CS308" s="9">
        <f t="shared" si="25"/>
        <v>1000</v>
      </c>
      <c r="CT308" s="20">
        <f t="shared" si="26"/>
        <v>1000</v>
      </c>
      <c r="CU308" s="20">
        <f t="shared" si="27"/>
        <v>0</v>
      </c>
      <c r="CV308" s="24">
        <f t="shared" si="28"/>
        <v>0</v>
      </c>
    </row>
    <row r="309" spans="1:100" x14ac:dyDescent="0.2">
      <c r="A309" s="7" t="s">
        <v>137</v>
      </c>
      <c r="B309" s="1">
        <v>137</v>
      </c>
      <c r="C309" s="2" t="s">
        <v>36</v>
      </c>
      <c r="D309" s="36" t="s">
        <v>37</v>
      </c>
      <c r="E309" s="35"/>
      <c r="F309" s="35"/>
      <c r="G309" s="1" t="s">
        <v>26</v>
      </c>
      <c r="H309" s="1">
        <v>7</v>
      </c>
      <c r="I309" s="18">
        <v>135.15</v>
      </c>
      <c r="J309" s="18">
        <v>41900</v>
      </c>
      <c r="K309" s="2">
        <v>0</v>
      </c>
      <c r="L309" s="2" t="s">
        <v>3</v>
      </c>
      <c r="M309" s="8" t="s">
        <v>0</v>
      </c>
      <c r="N309" s="8" t="s">
        <v>9</v>
      </c>
      <c r="O309" s="7" t="s">
        <v>138</v>
      </c>
      <c r="P309" s="7" t="s">
        <v>0</v>
      </c>
      <c r="Q309" s="28" t="s">
        <v>139</v>
      </c>
      <c r="R309" s="7" t="s">
        <v>140</v>
      </c>
      <c r="S309" s="7" t="s">
        <v>96</v>
      </c>
      <c r="V309" s="8">
        <v>135.15</v>
      </c>
      <c r="W309" s="8"/>
      <c r="X309" s="15">
        <v>44954</v>
      </c>
      <c r="Y309" s="15">
        <v>44954</v>
      </c>
      <c r="Z309" s="17" t="s">
        <v>201</v>
      </c>
      <c r="AA309" s="118">
        <v>41000</v>
      </c>
      <c r="AB309" s="7">
        <v>33</v>
      </c>
      <c r="AC309" s="7">
        <v>30</v>
      </c>
      <c r="AD309" s="15">
        <v>45915</v>
      </c>
      <c r="AE309" s="50">
        <v>1000</v>
      </c>
      <c r="AF309" s="50"/>
      <c r="AG309" s="7" t="s">
        <v>72</v>
      </c>
      <c r="AH309" s="87">
        <v>45915</v>
      </c>
      <c r="AI309" s="82">
        <v>9499094</v>
      </c>
      <c r="AJ309" s="20" t="s">
        <v>447</v>
      </c>
      <c r="AK309" s="20" t="s">
        <v>478</v>
      </c>
      <c r="AL309" s="20">
        <v>1000</v>
      </c>
      <c r="AM309" s="20"/>
      <c r="AN309" s="20" t="s">
        <v>487</v>
      </c>
      <c r="AO309" s="20"/>
      <c r="AP309" s="7"/>
      <c r="AQ309" s="7"/>
      <c r="AR309" s="7"/>
      <c r="AS309" s="7"/>
      <c r="AT309" s="7"/>
      <c r="AU309" s="7"/>
      <c r="AV309" s="7"/>
      <c r="AW309" s="15">
        <v>45915</v>
      </c>
      <c r="AX309" s="28">
        <v>4719</v>
      </c>
      <c r="BA309" s="20">
        <v>1000</v>
      </c>
      <c r="BB309" s="20"/>
      <c r="BD309" s="7"/>
      <c r="CS309" s="9">
        <f t="shared" si="25"/>
        <v>1000</v>
      </c>
      <c r="CT309" s="20">
        <f t="shared" si="26"/>
        <v>1000</v>
      </c>
      <c r="CU309" s="20">
        <f t="shared" si="27"/>
        <v>0</v>
      </c>
      <c r="CV309" s="24">
        <f t="shared" si="28"/>
        <v>0</v>
      </c>
    </row>
    <row r="310" spans="1:100" x14ac:dyDescent="0.2">
      <c r="A310" s="7" t="s">
        <v>137</v>
      </c>
      <c r="B310" s="1">
        <v>137</v>
      </c>
      <c r="C310" s="2" t="s">
        <v>36</v>
      </c>
      <c r="D310" s="36" t="s">
        <v>37</v>
      </c>
      <c r="E310" s="35"/>
      <c r="F310" s="35"/>
      <c r="G310" s="1" t="s">
        <v>26</v>
      </c>
      <c r="H310" s="1">
        <v>7</v>
      </c>
      <c r="I310" s="18">
        <v>135.15</v>
      </c>
      <c r="J310" s="18">
        <v>41900</v>
      </c>
      <c r="K310" s="2">
        <v>0</v>
      </c>
      <c r="L310" s="2" t="s">
        <v>3</v>
      </c>
      <c r="M310" s="8" t="s">
        <v>0</v>
      </c>
      <c r="N310" s="8" t="s">
        <v>9</v>
      </c>
      <c r="O310" s="7" t="s">
        <v>138</v>
      </c>
      <c r="P310" s="7" t="s">
        <v>0</v>
      </c>
      <c r="Q310" s="28" t="s">
        <v>139</v>
      </c>
      <c r="R310" s="7" t="s">
        <v>140</v>
      </c>
      <c r="S310" s="7" t="s">
        <v>96</v>
      </c>
      <c r="V310" s="8">
        <v>135.15</v>
      </c>
      <c r="W310" s="8"/>
      <c r="X310" s="15">
        <v>44954</v>
      </c>
      <c r="Y310" s="15">
        <v>44954</v>
      </c>
      <c r="Z310" s="17" t="s">
        <v>201</v>
      </c>
      <c r="AA310" s="118">
        <v>41000</v>
      </c>
      <c r="AB310" s="7">
        <v>33</v>
      </c>
      <c r="AC310" s="7">
        <v>31</v>
      </c>
      <c r="AD310" s="15">
        <v>45945</v>
      </c>
      <c r="AE310" s="50">
        <v>1000</v>
      </c>
      <c r="AF310" s="50"/>
      <c r="AG310" s="7" t="s">
        <v>72</v>
      </c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15"/>
      <c r="BA310" s="20"/>
      <c r="BB310" s="20"/>
      <c r="BD310" s="7"/>
      <c r="CS310" s="9">
        <f t="shared" si="25"/>
        <v>0</v>
      </c>
      <c r="CT310" s="20">
        <f t="shared" si="26"/>
        <v>0</v>
      </c>
      <c r="CU310" s="20">
        <f t="shared" si="27"/>
        <v>0</v>
      </c>
      <c r="CV310" s="24">
        <f t="shared" si="28"/>
        <v>1000</v>
      </c>
    </row>
    <row r="311" spans="1:100" x14ac:dyDescent="0.2">
      <c r="A311" s="7" t="s">
        <v>137</v>
      </c>
      <c r="B311" s="1">
        <v>137</v>
      </c>
      <c r="C311" s="2" t="s">
        <v>36</v>
      </c>
      <c r="D311" s="36" t="s">
        <v>37</v>
      </c>
      <c r="E311" s="35"/>
      <c r="F311" s="35"/>
      <c r="G311" s="1" t="s">
        <v>26</v>
      </c>
      <c r="H311" s="1">
        <v>7</v>
      </c>
      <c r="I311" s="18">
        <v>135.15</v>
      </c>
      <c r="J311" s="18">
        <v>41900</v>
      </c>
      <c r="K311" s="2">
        <v>0</v>
      </c>
      <c r="L311" s="2" t="s">
        <v>3</v>
      </c>
      <c r="M311" s="8" t="s">
        <v>0</v>
      </c>
      <c r="N311" s="8" t="s">
        <v>9</v>
      </c>
      <c r="O311" s="7" t="s">
        <v>138</v>
      </c>
      <c r="P311" s="7" t="s">
        <v>0</v>
      </c>
      <c r="Q311" s="28" t="s">
        <v>139</v>
      </c>
      <c r="R311" s="7" t="s">
        <v>140</v>
      </c>
      <c r="S311" s="7" t="s">
        <v>96</v>
      </c>
      <c r="V311" s="8">
        <v>135.15</v>
      </c>
      <c r="W311" s="8"/>
      <c r="X311" s="15">
        <v>44954</v>
      </c>
      <c r="Y311" s="15">
        <v>44954</v>
      </c>
      <c r="Z311" s="17" t="s">
        <v>201</v>
      </c>
      <c r="AA311" s="118">
        <v>41000</v>
      </c>
      <c r="AB311" s="7">
        <v>33</v>
      </c>
      <c r="AC311" s="7">
        <v>32</v>
      </c>
      <c r="AD311" s="15">
        <v>45976</v>
      </c>
      <c r="AE311" s="50">
        <v>1000</v>
      </c>
      <c r="AF311" s="50"/>
      <c r="AG311" s="7" t="s">
        <v>72</v>
      </c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15"/>
      <c r="BA311" s="20"/>
      <c r="BB311" s="20"/>
      <c r="BD311" s="7"/>
      <c r="CS311" s="9">
        <f t="shared" si="25"/>
        <v>0</v>
      </c>
      <c r="CT311" s="20">
        <f t="shared" si="26"/>
        <v>0</v>
      </c>
      <c r="CU311" s="20">
        <f t="shared" si="27"/>
        <v>0</v>
      </c>
      <c r="CV311" s="24">
        <f t="shared" si="28"/>
        <v>1000</v>
      </c>
    </row>
    <row r="312" spans="1:100" x14ac:dyDescent="0.2">
      <c r="A312" s="7" t="s">
        <v>137</v>
      </c>
      <c r="B312" s="1">
        <v>137</v>
      </c>
      <c r="C312" s="2" t="s">
        <v>36</v>
      </c>
      <c r="D312" s="36" t="s">
        <v>37</v>
      </c>
      <c r="E312" s="35"/>
      <c r="F312" s="35"/>
      <c r="G312" s="1" t="s">
        <v>26</v>
      </c>
      <c r="H312" s="1">
        <v>7</v>
      </c>
      <c r="I312" s="18">
        <v>135.15</v>
      </c>
      <c r="J312" s="18">
        <v>41900</v>
      </c>
      <c r="K312" s="2">
        <v>0</v>
      </c>
      <c r="L312" s="2" t="s">
        <v>3</v>
      </c>
      <c r="M312" s="8" t="s">
        <v>0</v>
      </c>
      <c r="N312" s="8" t="s">
        <v>9</v>
      </c>
      <c r="O312" s="7" t="s">
        <v>138</v>
      </c>
      <c r="P312" s="7" t="s">
        <v>0</v>
      </c>
      <c r="Q312" s="28" t="s">
        <v>139</v>
      </c>
      <c r="R312" s="7" t="s">
        <v>140</v>
      </c>
      <c r="S312" s="7" t="s">
        <v>96</v>
      </c>
      <c r="V312" s="8">
        <v>135.15</v>
      </c>
      <c r="W312" s="8"/>
      <c r="X312" s="15">
        <v>44954</v>
      </c>
      <c r="Y312" s="15">
        <v>44954</v>
      </c>
      <c r="Z312" s="17" t="s">
        <v>201</v>
      </c>
      <c r="AA312" s="118">
        <v>41000</v>
      </c>
      <c r="AB312" s="7">
        <v>33</v>
      </c>
      <c r="AC312" s="7">
        <v>33</v>
      </c>
      <c r="AD312" s="15">
        <v>46006</v>
      </c>
      <c r="AE312" s="50">
        <v>940.17</v>
      </c>
      <c r="AF312" s="50"/>
      <c r="AG312" s="7" t="s">
        <v>72</v>
      </c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15"/>
      <c r="BA312" s="20"/>
      <c r="BB312" s="20"/>
      <c r="BD312" s="7"/>
      <c r="CS312" s="9">
        <f t="shared" si="25"/>
        <v>0</v>
      </c>
      <c r="CT312" s="20">
        <f t="shared" si="26"/>
        <v>0</v>
      </c>
      <c r="CU312" s="20">
        <f t="shared" si="27"/>
        <v>0</v>
      </c>
      <c r="CV312" s="24">
        <f t="shared" si="28"/>
        <v>940.17</v>
      </c>
    </row>
    <row r="313" spans="1:100" x14ac:dyDescent="0.2">
      <c r="A313" s="7" t="s">
        <v>155</v>
      </c>
      <c r="B313" s="1">
        <v>138</v>
      </c>
      <c r="C313" s="2" t="s">
        <v>36</v>
      </c>
      <c r="D313" s="44" t="s">
        <v>37</v>
      </c>
      <c r="E313" s="43" t="s">
        <v>22</v>
      </c>
      <c r="F313" s="43">
        <v>11</v>
      </c>
      <c r="G313" s="1" t="s">
        <v>27</v>
      </c>
      <c r="H313" s="1">
        <v>1</v>
      </c>
      <c r="I313" s="18">
        <v>120.2</v>
      </c>
      <c r="J313" s="18">
        <v>37900</v>
      </c>
      <c r="K313" s="2">
        <v>0</v>
      </c>
      <c r="L313" s="2" t="s">
        <v>3</v>
      </c>
      <c r="M313" s="7" t="s">
        <v>0</v>
      </c>
      <c r="N313" s="7" t="s">
        <v>10</v>
      </c>
      <c r="O313" s="7" t="s">
        <v>156</v>
      </c>
      <c r="S313" s="7" t="s">
        <v>96</v>
      </c>
      <c r="V313" s="8">
        <v>120.2</v>
      </c>
      <c r="W313" s="8" t="s">
        <v>196</v>
      </c>
      <c r="X313" s="15">
        <v>44639</v>
      </c>
      <c r="Y313" s="15">
        <v>45570</v>
      </c>
      <c r="Z313" s="17" t="s">
        <v>201</v>
      </c>
      <c r="AA313" s="118">
        <v>32305.03</v>
      </c>
      <c r="AB313" s="7">
        <v>23</v>
      </c>
      <c r="AC313" s="7">
        <v>0</v>
      </c>
      <c r="AD313" s="15">
        <v>44639</v>
      </c>
      <c r="AE313" s="50">
        <v>20000</v>
      </c>
      <c r="AF313" s="50"/>
      <c r="AG313" s="7" t="s">
        <v>72</v>
      </c>
      <c r="AH313" s="87">
        <v>44639</v>
      </c>
      <c r="AI313" s="82">
        <v>40813815</v>
      </c>
      <c r="AJ313" s="20" t="s">
        <v>397</v>
      </c>
      <c r="AK313" s="20" t="s">
        <v>157</v>
      </c>
      <c r="AL313" s="20">
        <v>20000</v>
      </c>
      <c r="AM313" s="20"/>
      <c r="AN313" s="20" t="s">
        <v>388</v>
      </c>
      <c r="AO313" s="20"/>
      <c r="AP313" s="87"/>
      <c r="AQ313" s="82"/>
      <c r="AR313" s="20"/>
      <c r="AS313" s="20"/>
      <c r="AT313" s="20"/>
      <c r="AU313" s="20"/>
      <c r="AV313" s="20"/>
      <c r="AW313" s="29">
        <v>44639</v>
      </c>
      <c r="AX313" s="30">
        <v>11431</v>
      </c>
      <c r="AY313" s="7">
        <v>75520</v>
      </c>
      <c r="AZ313" s="7">
        <v>3.7759999999999998</v>
      </c>
      <c r="BA313" s="20">
        <f>+AY313/AZ313</f>
        <v>20000</v>
      </c>
      <c r="BB313" s="20"/>
      <c r="BD313" s="7"/>
      <c r="CS313" s="9">
        <f t="shared" si="25"/>
        <v>20000</v>
      </c>
      <c r="CT313" s="20">
        <f t="shared" si="26"/>
        <v>20000</v>
      </c>
      <c r="CU313" s="20">
        <f t="shared" si="27"/>
        <v>0</v>
      </c>
      <c r="CV313" s="24">
        <f t="shared" si="28"/>
        <v>0</v>
      </c>
    </row>
    <row r="314" spans="1:100" x14ac:dyDescent="0.2">
      <c r="A314" s="7" t="s">
        <v>155</v>
      </c>
      <c r="B314" s="1">
        <v>138</v>
      </c>
      <c r="C314" s="2" t="s">
        <v>36</v>
      </c>
      <c r="D314" s="44" t="s">
        <v>37</v>
      </c>
      <c r="E314" s="43" t="s">
        <v>22</v>
      </c>
      <c r="F314" s="43">
        <v>11</v>
      </c>
      <c r="G314" s="1" t="s">
        <v>27</v>
      </c>
      <c r="H314" s="1">
        <v>1</v>
      </c>
      <c r="I314" s="18">
        <v>120.2</v>
      </c>
      <c r="J314" s="18">
        <v>37900</v>
      </c>
      <c r="K314" s="2">
        <v>0</v>
      </c>
      <c r="L314" s="2" t="s">
        <v>3</v>
      </c>
      <c r="M314" s="7" t="s">
        <v>0</v>
      </c>
      <c r="N314" s="7" t="s">
        <v>10</v>
      </c>
      <c r="O314" s="7" t="s">
        <v>156</v>
      </c>
      <c r="S314" s="7" t="s">
        <v>96</v>
      </c>
      <c r="V314" s="8">
        <v>120.2</v>
      </c>
      <c r="W314" s="8" t="s">
        <v>196</v>
      </c>
      <c r="X314" s="15">
        <v>44639</v>
      </c>
      <c r="Y314" s="15">
        <v>45570</v>
      </c>
      <c r="Z314" s="17" t="s">
        <v>201</v>
      </c>
      <c r="AA314" s="118">
        <v>32305.03</v>
      </c>
      <c r="AB314" s="7">
        <v>23</v>
      </c>
      <c r="AC314" s="7">
        <v>1</v>
      </c>
      <c r="AD314" s="15">
        <v>44681</v>
      </c>
      <c r="AE314" s="50">
        <v>504.58</v>
      </c>
      <c r="AF314" s="50"/>
      <c r="AG314" s="7" t="s">
        <v>72</v>
      </c>
      <c r="AH314" s="87">
        <v>44684</v>
      </c>
      <c r="AI314" s="82">
        <v>40813815</v>
      </c>
      <c r="AJ314" s="20" t="s">
        <v>397</v>
      </c>
      <c r="AK314" s="20" t="s">
        <v>158</v>
      </c>
      <c r="AL314" s="20">
        <v>504.58</v>
      </c>
      <c r="AM314" s="20"/>
      <c r="AN314" s="20" t="s">
        <v>389</v>
      </c>
      <c r="AO314" s="20"/>
      <c r="AP314" s="87"/>
      <c r="AQ314" s="82"/>
      <c r="AR314" s="20"/>
      <c r="AS314" s="20"/>
      <c r="AT314" s="20"/>
      <c r="AU314" s="20"/>
      <c r="AV314" s="20"/>
      <c r="AW314" s="29">
        <v>44681</v>
      </c>
      <c r="AX314" s="30">
        <v>602</v>
      </c>
      <c r="BA314" s="20">
        <v>504.58</v>
      </c>
      <c r="BB314" s="20"/>
      <c r="BD314" s="7"/>
      <c r="CS314" s="9">
        <f t="shared" si="25"/>
        <v>504.58</v>
      </c>
      <c r="CT314" s="20">
        <f t="shared" si="26"/>
        <v>504.58</v>
      </c>
      <c r="CU314" s="20">
        <f t="shared" si="27"/>
        <v>0</v>
      </c>
      <c r="CV314" s="24">
        <f t="shared" si="28"/>
        <v>0</v>
      </c>
    </row>
    <row r="315" spans="1:100" x14ac:dyDescent="0.2">
      <c r="A315" s="7" t="s">
        <v>155</v>
      </c>
      <c r="B315" s="1">
        <v>138</v>
      </c>
      <c r="C315" s="2" t="s">
        <v>36</v>
      </c>
      <c r="D315" s="44" t="s">
        <v>37</v>
      </c>
      <c r="E315" s="43" t="s">
        <v>22</v>
      </c>
      <c r="F315" s="43">
        <v>11</v>
      </c>
      <c r="G315" s="1" t="s">
        <v>27</v>
      </c>
      <c r="H315" s="1">
        <v>1</v>
      </c>
      <c r="I315" s="18">
        <v>120.2</v>
      </c>
      <c r="J315" s="18">
        <v>37900</v>
      </c>
      <c r="K315" s="2">
        <v>0</v>
      </c>
      <c r="L315" s="2" t="s">
        <v>3</v>
      </c>
      <c r="M315" s="7" t="s">
        <v>0</v>
      </c>
      <c r="N315" s="7" t="s">
        <v>10</v>
      </c>
      <c r="O315" s="7" t="s">
        <v>156</v>
      </c>
      <c r="S315" s="7" t="s">
        <v>96</v>
      </c>
      <c r="V315" s="8">
        <v>120.2</v>
      </c>
      <c r="W315" s="8" t="s">
        <v>196</v>
      </c>
      <c r="X315" s="15">
        <v>44639</v>
      </c>
      <c r="Y315" s="15">
        <v>45570</v>
      </c>
      <c r="Z315" s="17" t="s">
        <v>201</v>
      </c>
      <c r="AA315" s="118">
        <v>32305.03</v>
      </c>
      <c r="AB315" s="7">
        <v>23</v>
      </c>
      <c r="AC315" s="7">
        <v>2</v>
      </c>
      <c r="AD315" s="15">
        <v>44711</v>
      </c>
      <c r="AE315" s="50">
        <v>504.58</v>
      </c>
      <c r="AF315" s="50"/>
      <c r="AG315" s="7" t="s">
        <v>72</v>
      </c>
      <c r="AH315" s="87">
        <v>44721</v>
      </c>
      <c r="AI315" s="82">
        <v>40813815</v>
      </c>
      <c r="AJ315" s="20" t="s">
        <v>397</v>
      </c>
      <c r="AK315" s="20" t="s">
        <v>159</v>
      </c>
      <c r="AL315" s="20">
        <v>504.58</v>
      </c>
      <c r="AM315" s="20"/>
      <c r="AN315" s="20" t="s">
        <v>390</v>
      </c>
      <c r="AO315" s="20"/>
      <c r="AP315" s="87"/>
      <c r="AQ315" s="82"/>
      <c r="AR315" s="20"/>
      <c r="AS315" s="20"/>
      <c r="AT315" s="20"/>
      <c r="AU315" s="20"/>
      <c r="AV315" s="20"/>
      <c r="AW315" s="29">
        <v>44720</v>
      </c>
      <c r="AX315" s="30">
        <v>704</v>
      </c>
      <c r="BA315" s="20">
        <v>504.58</v>
      </c>
      <c r="BB315" s="20"/>
      <c r="BD315" s="7"/>
      <c r="CS315" s="9">
        <f t="shared" si="25"/>
        <v>504.58</v>
      </c>
      <c r="CT315" s="20">
        <f t="shared" si="26"/>
        <v>504.58</v>
      </c>
      <c r="CU315" s="20">
        <f t="shared" si="27"/>
        <v>0</v>
      </c>
      <c r="CV315" s="24">
        <f t="shared" si="28"/>
        <v>0</v>
      </c>
    </row>
    <row r="316" spans="1:100" x14ac:dyDescent="0.2">
      <c r="A316" s="7" t="s">
        <v>155</v>
      </c>
      <c r="B316" s="1">
        <v>138</v>
      </c>
      <c r="C316" s="2" t="s">
        <v>36</v>
      </c>
      <c r="D316" s="44" t="s">
        <v>37</v>
      </c>
      <c r="E316" s="43" t="s">
        <v>22</v>
      </c>
      <c r="F316" s="43">
        <v>11</v>
      </c>
      <c r="G316" s="1" t="s">
        <v>27</v>
      </c>
      <c r="H316" s="1">
        <v>1</v>
      </c>
      <c r="I316" s="18">
        <v>120.2</v>
      </c>
      <c r="J316" s="18">
        <v>37900</v>
      </c>
      <c r="K316" s="2">
        <v>0</v>
      </c>
      <c r="L316" s="2" t="s">
        <v>3</v>
      </c>
      <c r="M316" s="7" t="s">
        <v>0</v>
      </c>
      <c r="N316" s="7" t="s">
        <v>10</v>
      </c>
      <c r="O316" s="7" t="s">
        <v>156</v>
      </c>
      <c r="S316" s="7" t="s">
        <v>96</v>
      </c>
      <c r="V316" s="8">
        <v>120.2</v>
      </c>
      <c r="W316" s="8" t="s">
        <v>196</v>
      </c>
      <c r="X316" s="15">
        <v>44639</v>
      </c>
      <c r="Y316" s="15">
        <v>45570</v>
      </c>
      <c r="Z316" s="17" t="s">
        <v>201</v>
      </c>
      <c r="AA316" s="118">
        <v>32305.03</v>
      </c>
      <c r="AB316" s="7">
        <v>23</v>
      </c>
      <c r="AC316" s="7">
        <v>3</v>
      </c>
      <c r="AD316" s="15">
        <v>44742</v>
      </c>
      <c r="AE316" s="50">
        <v>504.58</v>
      </c>
      <c r="AF316" s="50"/>
      <c r="AG316" s="7" t="s">
        <v>72</v>
      </c>
      <c r="AH316" s="87">
        <v>44743</v>
      </c>
      <c r="AI316" s="82">
        <v>40813815</v>
      </c>
      <c r="AJ316" s="20" t="s">
        <v>397</v>
      </c>
      <c r="AK316" s="20" t="s">
        <v>160</v>
      </c>
      <c r="AL316" s="20">
        <v>504.58</v>
      </c>
      <c r="AM316" s="20"/>
      <c r="AN316" s="20" t="s">
        <v>391</v>
      </c>
      <c r="AO316" s="20"/>
      <c r="AP316" s="87"/>
      <c r="AQ316" s="82"/>
      <c r="AR316" s="20"/>
      <c r="AS316" s="20"/>
      <c r="AT316" s="20"/>
      <c r="AU316" s="20"/>
      <c r="AV316" s="20"/>
      <c r="AW316" s="29">
        <v>44743</v>
      </c>
      <c r="AX316" s="30">
        <v>748</v>
      </c>
      <c r="BA316" s="20">
        <v>504.58</v>
      </c>
      <c r="BB316" s="20"/>
      <c r="BD316" s="7"/>
      <c r="CS316" s="9">
        <f t="shared" si="25"/>
        <v>504.58</v>
      </c>
      <c r="CT316" s="20">
        <f t="shared" si="26"/>
        <v>504.58</v>
      </c>
      <c r="CU316" s="20">
        <f t="shared" si="27"/>
        <v>0</v>
      </c>
      <c r="CV316" s="24">
        <f t="shared" si="28"/>
        <v>0</v>
      </c>
    </row>
    <row r="317" spans="1:100" x14ac:dyDescent="0.2">
      <c r="A317" s="7" t="s">
        <v>155</v>
      </c>
      <c r="B317" s="1">
        <v>138</v>
      </c>
      <c r="C317" s="2" t="s">
        <v>36</v>
      </c>
      <c r="D317" s="44" t="s">
        <v>37</v>
      </c>
      <c r="E317" s="43" t="s">
        <v>22</v>
      </c>
      <c r="F317" s="43">
        <v>11</v>
      </c>
      <c r="G317" s="1" t="s">
        <v>27</v>
      </c>
      <c r="H317" s="1">
        <v>1</v>
      </c>
      <c r="I317" s="18">
        <v>120.2</v>
      </c>
      <c r="J317" s="18">
        <v>37900</v>
      </c>
      <c r="K317" s="2">
        <v>0</v>
      </c>
      <c r="L317" s="2" t="s">
        <v>3</v>
      </c>
      <c r="M317" s="7" t="s">
        <v>0</v>
      </c>
      <c r="N317" s="7" t="s">
        <v>10</v>
      </c>
      <c r="O317" s="7" t="s">
        <v>156</v>
      </c>
      <c r="S317" s="7" t="s">
        <v>96</v>
      </c>
      <c r="V317" s="8">
        <v>120.2</v>
      </c>
      <c r="W317" s="8" t="s">
        <v>196</v>
      </c>
      <c r="X317" s="15">
        <v>44639</v>
      </c>
      <c r="Y317" s="15">
        <v>45570</v>
      </c>
      <c r="Z317" s="17" t="s">
        <v>201</v>
      </c>
      <c r="AA317" s="118">
        <v>32305.03</v>
      </c>
      <c r="AB317" s="7">
        <v>23</v>
      </c>
      <c r="AC317" s="7">
        <v>4</v>
      </c>
      <c r="AD317" s="15">
        <v>44772</v>
      </c>
      <c r="AE317" s="50">
        <v>504.58</v>
      </c>
      <c r="AF317" s="50"/>
      <c r="AG317" s="7" t="s">
        <v>72</v>
      </c>
      <c r="AH317" s="87">
        <v>44776</v>
      </c>
      <c r="AI317" s="82">
        <v>40813815</v>
      </c>
      <c r="AJ317" s="20" t="s">
        <v>397</v>
      </c>
      <c r="AK317" s="20" t="s">
        <v>161</v>
      </c>
      <c r="AL317" s="20">
        <v>504.58</v>
      </c>
      <c r="AM317" s="20"/>
      <c r="AN317" s="20" t="s">
        <v>393</v>
      </c>
      <c r="AO317" s="20"/>
      <c r="AP317" s="87"/>
      <c r="AQ317" s="82"/>
      <c r="AR317" s="20"/>
      <c r="AS317" s="20"/>
      <c r="AT317" s="20"/>
      <c r="AU317" s="20"/>
      <c r="AV317" s="20"/>
      <c r="AW317" s="29">
        <v>44774</v>
      </c>
      <c r="AX317" s="30">
        <v>827</v>
      </c>
      <c r="BA317" s="20">
        <v>504.58</v>
      </c>
      <c r="BB317" s="20"/>
      <c r="BD317" s="7"/>
      <c r="CS317" s="9">
        <f t="shared" si="25"/>
        <v>504.58</v>
      </c>
      <c r="CT317" s="20">
        <f t="shared" si="26"/>
        <v>504.58</v>
      </c>
      <c r="CU317" s="20">
        <f t="shared" si="27"/>
        <v>0</v>
      </c>
      <c r="CV317" s="24">
        <f t="shared" si="28"/>
        <v>0</v>
      </c>
    </row>
    <row r="318" spans="1:100" x14ac:dyDescent="0.2">
      <c r="A318" s="7" t="s">
        <v>155</v>
      </c>
      <c r="B318" s="1">
        <v>138</v>
      </c>
      <c r="C318" s="2" t="s">
        <v>36</v>
      </c>
      <c r="D318" s="44" t="s">
        <v>37</v>
      </c>
      <c r="E318" s="43" t="s">
        <v>22</v>
      </c>
      <c r="F318" s="43">
        <v>11</v>
      </c>
      <c r="G318" s="1" t="s">
        <v>27</v>
      </c>
      <c r="H318" s="1">
        <v>1</v>
      </c>
      <c r="I318" s="18">
        <v>120.2</v>
      </c>
      <c r="J318" s="18">
        <v>37900</v>
      </c>
      <c r="K318" s="2">
        <v>0</v>
      </c>
      <c r="L318" s="2" t="s">
        <v>3</v>
      </c>
      <c r="M318" s="7" t="s">
        <v>0</v>
      </c>
      <c r="N318" s="7">
        <v>40813815</v>
      </c>
      <c r="O318" s="7" t="s">
        <v>156</v>
      </c>
      <c r="S318" s="7" t="s">
        <v>96</v>
      </c>
      <c r="V318" s="8">
        <v>120.2</v>
      </c>
      <c r="W318" s="8" t="s">
        <v>196</v>
      </c>
      <c r="X318" s="15">
        <v>44639</v>
      </c>
      <c r="Y318" s="15">
        <v>45570</v>
      </c>
      <c r="Z318" s="17" t="s">
        <v>201</v>
      </c>
      <c r="AA318" s="118">
        <v>32305.03</v>
      </c>
      <c r="AB318" s="7">
        <v>23</v>
      </c>
      <c r="AC318" s="7">
        <v>5</v>
      </c>
      <c r="AD318" s="15">
        <v>44803</v>
      </c>
      <c r="AE318" s="50">
        <v>504.58</v>
      </c>
      <c r="AF318" s="50"/>
      <c r="AG318" s="7" t="s">
        <v>72</v>
      </c>
      <c r="AH318" s="87">
        <v>44814</v>
      </c>
      <c r="AI318" s="82">
        <v>40813815</v>
      </c>
      <c r="AJ318" s="20" t="s">
        <v>397</v>
      </c>
      <c r="AK318" s="20" t="s">
        <v>162</v>
      </c>
      <c r="AL318" s="20">
        <v>504.58</v>
      </c>
      <c r="AM318" s="20"/>
      <c r="AN318" s="20" t="s">
        <v>394</v>
      </c>
      <c r="AO318" s="20"/>
      <c r="AP318" s="87"/>
      <c r="AQ318" s="82"/>
      <c r="AR318" s="20"/>
      <c r="AS318" s="20"/>
      <c r="AT318" s="20"/>
      <c r="AU318" s="20"/>
      <c r="AV318" s="20"/>
      <c r="AW318" s="29">
        <v>44813</v>
      </c>
      <c r="AX318" s="30">
        <v>932</v>
      </c>
      <c r="BA318" s="20">
        <v>504.58</v>
      </c>
      <c r="BB318" s="20"/>
      <c r="BD318" s="7"/>
      <c r="CS318" s="9">
        <f t="shared" si="25"/>
        <v>504.58</v>
      </c>
      <c r="CT318" s="20">
        <f t="shared" si="26"/>
        <v>504.58</v>
      </c>
      <c r="CU318" s="20">
        <f t="shared" si="27"/>
        <v>0</v>
      </c>
      <c r="CV318" s="24">
        <f t="shared" si="28"/>
        <v>0</v>
      </c>
    </row>
    <row r="319" spans="1:100" x14ac:dyDescent="0.2">
      <c r="A319" s="7" t="s">
        <v>155</v>
      </c>
      <c r="B319" s="1">
        <v>138</v>
      </c>
      <c r="C319" s="2" t="s">
        <v>36</v>
      </c>
      <c r="D319" s="44" t="s">
        <v>37</v>
      </c>
      <c r="E319" s="43" t="s">
        <v>22</v>
      </c>
      <c r="F319" s="43">
        <v>11</v>
      </c>
      <c r="G319" s="1" t="s">
        <v>27</v>
      </c>
      <c r="H319" s="1">
        <v>1</v>
      </c>
      <c r="I319" s="18">
        <v>120.2</v>
      </c>
      <c r="J319" s="18">
        <v>37900</v>
      </c>
      <c r="K319" s="2">
        <v>0</v>
      </c>
      <c r="L319" s="2" t="s">
        <v>3</v>
      </c>
      <c r="M319" s="7" t="s">
        <v>0</v>
      </c>
      <c r="N319" s="7" t="s">
        <v>10</v>
      </c>
      <c r="O319" s="7" t="s">
        <v>156</v>
      </c>
      <c r="S319" s="7" t="s">
        <v>96</v>
      </c>
      <c r="V319" s="8">
        <v>120.2</v>
      </c>
      <c r="W319" s="8" t="s">
        <v>196</v>
      </c>
      <c r="X319" s="15">
        <v>44639</v>
      </c>
      <c r="Y319" s="15">
        <v>45570</v>
      </c>
      <c r="Z319" s="17" t="s">
        <v>201</v>
      </c>
      <c r="AA319" s="118">
        <v>32305.03</v>
      </c>
      <c r="AB319" s="7">
        <v>23</v>
      </c>
      <c r="AC319" s="7">
        <v>6</v>
      </c>
      <c r="AD319" s="15">
        <v>44925</v>
      </c>
      <c r="AE319" s="50">
        <v>756.87</v>
      </c>
      <c r="AF319" s="50"/>
      <c r="AG319" s="7" t="s">
        <v>72</v>
      </c>
      <c r="AH319" s="87">
        <v>44925</v>
      </c>
      <c r="AI319" s="82">
        <v>40813815</v>
      </c>
      <c r="AJ319" s="20" t="s">
        <v>397</v>
      </c>
      <c r="AK319" s="20" t="s">
        <v>163</v>
      </c>
      <c r="AL319" s="20">
        <v>756.87</v>
      </c>
      <c r="AM319" s="20"/>
      <c r="AN319" s="20" t="s">
        <v>395</v>
      </c>
      <c r="AO319" s="20"/>
      <c r="AP319" s="87"/>
      <c r="AQ319" s="82"/>
      <c r="AR319" s="20"/>
      <c r="AS319" s="20"/>
      <c r="AT319" s="20"/>
      <c r="AU319" s="20"/>
      <c r="AV319" s="20"/>
      <c r="AW319" s="29">
        <v>44925</v>
      </c>
      <c r="AX319" s="30">
        <v>1127</v>
      </c>
      <c r="BA319" s="20">
        <v>756.87</v>
      </c>
      <c r="BB319" s="20"/>
      <c r="BD319" s="7"/>
      <c r="CS319" s="9">
        <f t="shared" si="25"/>
        <v>756.87</v>
      </c>
      <c r="CT319" s="20">
        <f t="shared" si="26"/>
        <v>756.87</v>
      </c>
      <c r="CU319" s="20">
        <f t="shared" si="27"/>
        <v>0</v>
      </c>
      <c r="CV319" s="24">
        <f t="shared" si="28"/>
        <v>0</v>
      </c>
    </row>
    <row r="320" spans="1:100" x14ac:dyDescent="0.2">
      <c r="A320" s="7" t="s">
        <v>155</v>
      </c>
      <c r="B320" s="1">
        <v>138</v>
      </c>
      <c r="C320" s="2" t="s">
        <v>36</v>
      </c>
      <c r="D320" s="44" t="s">
        <v>37</v>
      </c>
      <c r="E320" s="43" t="s">
        <v>22</v>
      </c>
      <c r="F320" s="43">
        <v>11</v>
      </c>
      <c r="G320" s="1" t="s">
        <v>27</v>
      </c>
      <c r="H320" s="1">
        <v>1</v>
      </c>
      <c r="I320" s="18">
        <v>120.2</v>
      </c>
      <c r="J320" s="18">
        <v>37900</v>
      </c>
      <c r="K320" s="2">
        <v>0</v>
      </c>
      <c r="L320" s="2" t="s">
        <v>3</v>
      </c>
      <c r="M320" s="7" t="s">
        <v>0</v>
      </c>
      <c r="N320" s="7" t="s">
        <v>10</v>
      </c>
      <c r="O320" s="7" t="s">
        <v>156</v>
      </c>
      <c r="S320" s="7" t="s">
        <v>96</v>
      </c>
      <c r="V320" s="8">
        <v>120.2</v>
      </c>
      <c r="W320" s="8" t="s">
        <v>196</v>
      </c>
      <c r="X320" s="15">
        <v>44639</v>
      </c>
      <c r="Y320" s="15">
        <v>45570</v>
      </c>
      <c r="Z320" s="17" t="s">
        <v>201</v>
      </c>
      <c r="AA320" s="118">
        <v>32305.03</v>
      </c>
      <c r="AB320" s="7">
        <v>23</v>
      </c>
      <c r="AC320" s="7">
        <v>7</v>
      </c>
      <c r="AD320" s="15">
        <v>44956</v>
      </c>
      <c r="AE320" s="50">
        <v>756.87</v>
      </c>
      <c r="AF320" s="50"/>
      <c r="AG320" s="7" t="s">
        <v>72</v>
      </c>
      <c r="AH320" s="15">
        <v>44959</v>
      </c>
      <c r="AI320" s="82">
        <v>40813815</v>
      </c>
      <c r="AJ320" s="20" t="s">
        <v>397</v>
      </c>
      <c r="AK320" s="7" t="s">
        <v>164</v>
      </c>
      <c r="AL320" s="20">
        <v>756.87</v>
      </c>
      <c r="AM320" s="20"/>
      <c r="AN320" s="20" t="s">
        <v>398</v>
      </c>
      <c r="AO320" s="20"/>
      <c r="AP320" s="7"/>
      <c r="AQ320" s="7"/>
      <c r="AR320" s="7"/>
      <c r="AS320" s="7"/>
      <c r="AT320" s="7"/>
      <c r="AU320" s="7"/>
      <c r="AV320" s="7"/>
      <c r="AW320" s="29">
        <v>44959</v>
      </c>
      <c r="AX320" s="30">
        <v>1197</v>
      </c>
      <c r="BA320" s="20">
        <v>756.87</v>
      </c>
      <c r="BB320" s="20"/>
      <c r="BD320" s="7"/>
      <c r="CS320" s="9">
        <f t="shared" si="25"/>
        <v>756.87</v>
      </c>
      <c r="CT320" s="20">
        <f t="shared" si="26"/>
        <v>756.87</v>
      </c>
      <c r="CU320" s="20">
        <f t="shared" si="27"/>
        <v>0</v>
      </c>
      <c r="CV320" s="24">
        <f t="shared" si="28"/>
        <v>0</v>
      </c>
    </row>
    <row r="321" spans="1:100" x14ac:dyDescent="0.2">
      <c r="A321" s="7" t="s">
        <v>155</v>
      </c>
      <c r="B321" s="1">
        <v>138</v>
      </c>
      <c r="C321" s="2" t="s">
        <v>36</v>
      </c>
      <c r="D321" s="44" t="s">
        <v>37</v>
      </c>
      <c r="E321" s="43" t="s">
        <v>22</v>
      </c>
      <c r="F321" s="43">
        <v>11</v>
      </c>
      <c r="G321" s="1" t="s">
        <v>27</v>
      </c>
      <c r="H321" s="1">
        <v>1</v>
      </c>
      <c r="I321" s="18">
        <v>120.2</v>
      </c>
      <c r="J321" s="18">
        <v>37900</v>
      </c>
      <c r="K321" s="2">
        <v>0</v>
      </c>
      <c r="L321" s="2" t="s">
        <v>3</v>
      </c>
      <c r="M321" s="7" t="s">
        <v>0</v>
      </c>
      <c r="N321" s="7" t="s">
        <v>10</v>
      </c>
      <c r="O321" s="7" t="s">
        <v>156</v>
      </c>
      <c r="S321" s="7" t="s">
        <v>96</v>
      </c>
      <c r="V321" s="8">
        <v>120.2</v>
      </c>
      <c r="W321" s="8" t="s">
        <v>196</v>
      </c>
      <c r="X321" s="15">
        <v>44639</v>
      </c>
      <c r="Y321" s="15">
        <v>45570</v>
      </c>
      <c r="Z321" s="17" t="s">
        <v>201</v>
      </c>
      <c r="AA321" s="118">
        <v>32305.03</v>
      </c>
      <c r="AB321" s="7">
        <v>23</v>
      </c>
      <c r="AC321" s="7">
        <v>8</v>
      </c>
      <c r="AD321" s="15">
        <v>44985</v>
      </c>
      <c r="AE321" s="50">
        <v>516.46</v>
      </c>
      <c r="AF321" s="50"/>
      <c r="AG321" s="7" t="s">
        <v>72</v>
      </c>
      <c r="AH321" s="15">
        <v>44992</v>
      </c>
      <c r="AI321" s="82">
        <v>40813815</v>
      </c>
      <c r="AJ321" s="20" t="s">
        <v>397</v>
      </c>
      <c r="AK321" s="7" t="s">
        <v>165</v>
      </c>
      <c r="AL321" s="20">
        <v>516.47</v>
      </c>
      <c r="AM321" s="20"/>
      <c r="AN321" s="20" t="s">
        <v>399</v>
      </c>
      <c r="AO321" s="20"/>
      <c r="AP321" s="20"/>
      <c r="AQ321" s="20"/>
      <c r="AR321" s="20"/>
      <c r="AS321" s="20"/>
      <c r="AT321" s="20"/>
      <c r="AU321" s="20"/>
      <c r="AV321" s="20"/>
      <c r="AW321" s="29">
        <v>44989</v>
      </c>
      <c r="AX321" s="30">
        <v>1297</v>
      </c>
      <c r="BA321" s="20">
        <v>516.47</v>
      </c>
      <c r="BB321" s="20"/>
      <c r="BD321" s="7"/>
      <c r="CS321" s="9">
        <f t="shared" si="25"/>
        <v>516.47</v>
      </c>
      <c r="CT321" s="20">
        <f t="shared" si="26"/>
        <v>516.47</v>
      </c>
      <c r="CU321" s="20">
        <f t="shared" si="27"/>
        <v>0</v>
      </c>
      <c r="CV321" s="24">
        <f t="shared" si="28"/>
        <v>-9.9999999999909051E-3</v>
      </c>
    </row>
    <row r="322" spans="1:100" x14ac:dyDescent="0.2">
      <c r="A322" s="7" t="s">
        <v>155</v>
      </c>
      <c r="B322" s="1">
        <v>138</v>
      </c>
      <c r="C322" s="2" t="s">
        <v>36</v>
      </c>
      <c r="D322" s="44" t="s">
        <v>37</v>
      </c>
      <c r="E322" s="43" t="s">
        <v>22</v>
      </c>
      <c r="F322" s="43">
        <v>11</v>
      </c>
      <c r="G322" s="1" t="s">
        <v>27</v>
      </c>
      <c r="H322" s="1">
        <v>1</v>
      </c>
      <c r="I322" s="18">
        <v>120.2</v>
      </c>
      <c r="J322" s="18">
        <v>37900</v>
      </c>
      <c r="K322" s="2">
        <v>0</v>
      </c>
      <c r="L322" s="2" t="s">
        <v>3</v>
      </c>
      <c r="M322" s="7" t="s">
        <v>0</v>
      </c>
      <c r="N322" s="7" t="s">
        <v>10</v>
      </c>
      <c r="O322" s="7" t="s">
        <v>156</v>
      </c>
      <c r="S322" s="7" t="s">
        <v>96</v>
      </c>
      <c r="V322" s="8">
        <v>120.2</v>
      </c>
      <c r="W322" s="8" t="s">
        <v>196</v>
      </c>
      <c r="X322" s="15">
        <v>44639</v>
      </c>
      <c r="Y322" s="15">
        <v>45570</v>
      </c>
      <c r="Z322" s="17" t="s">
        <v>201</v>
      </c>
      <c r="AA322" s="118">
        <v>32305.03</v>
      </c>
      <c r="AB322" s="7">
        <v>23</v>
      </c>
      <c r="AC322" s="7">
        <v>9</v>
      </c>
      <c r="AD322" s="15">
        <v>45015</v>
      </c>
      <c r="AE322" s="50">
        <v>516.46</v>
      </c>
      <c r="AF322" s="50"/>
      <c r="AG322" s="7" t="s">
        <v>72</v>
      </c>
      <c r="AH322" s="15">
        <v>45026</v>
      </c>
      <c r="AI322" s="82">
        <v>40813815</v>
      </c>
      <c r="AJ322" s="20" t="s">
        <v>397</v>
      </c>
      <c r="AK322" s="7" t="s">
        <v>408</v>
      </c>
      <c r="AL322" s="20">
        <v>516</v>
      </c>
      <c r="AM322" s="20"/>
      <c r="AN322" s="20" t="s">
        <v>400</v>
      </c>
      <c r="AO322" s="20"/>
      <c r="AP322" s="20"/>
      <c r="AQ322" s="20"/>
      <c r="AR322" s="20"/>
      <c r="AS322" s="20"/>
      <c r="AT322" s="20"/>
      <c r="AU322" s="20"/>
      <c r="AV322" s="20"/>
      <c r="AW322" s="29">
        <v>45022</v>
      </c>
      <c r="AX322" s="30">
        <v>1389</v>
      </c>
      <c r="BA322" s="20">
        <v>516</v>
      </c>
      <c r="BB322" s="20"/>
      <c r="BD322" s="7"/>
      <c r="CS322" s="9">
        <f t="shared" si="25"/>
        <v>516</v>
      </c>
      <c r="CT322" s="20">
        <f t="shared" si="26"/>
        <v>516</v>
      </c>
      <c r="CU322" s="20">
        <f t="shared" si="27"/>
        <v>0</v>
      </c>
      <c r="CV322" s="24">
        <f t="shared" si="28"/>
        <v>0.46000000000003638</v>
      </c>
    </row>
    <row r="323" spans="1:100" x14ac:dyDescent="0.2">
      <c r="A323" s="7" t="s">
        <v>155</v>
      </c>
      <c r="B323" s="1">
        <v>138</v>
      </c>
      <c r="C323" s="2" t="s">
        <v>36</v>
      </c>
      <c r="D323" s="44" t="s">
        <v>37</v>
      </c>
      <c r="E323" s="43" t="s">
        <v>22</v>
      </c>
      <c r="F323" s="43">
        <v>11</v>
      </c>
      <c r="G323" s="1" t="s">
        <v>27</v>
      </c>
      <c r="H323" s="1">
        <v>1</v>
      </c>
      <c r="I323" s="18">
        <v>120.2</v>
      </c>
      <c r="J323" s="18">
        <v>37900</v>
      </c>
      <c r="K323" s="2">
        <v>0</v>
      </c>
      <c r="L323" s="2" t="s">
        <v>3</v>
      </c>
      <c r="M323" s="7" t="s">
        <v>0</v>
      </c>
      <c r="N323" s="7" t="s">
        <v>10</v>
      </c>
      <c r="O323" s="7" t="s">
        <v>156</v>
      </c>
      <c r="S323" s="7" t="s">
        <v>96</v>
      </c>
      <c r="V323" s="8">
        <v>120.2</v>
      </c>
      <c r="W323" s="8" t="s">
        <v>196</v>
      </c>
      <c r="X323" s="15">
        <v>44639</v>
      </c>
      <c r="Y323" s="15">
        <v>45570</v>
      </c>
      <c r="Z323" s="17" t="s">
        <v>201</v>
      </c>
      <c r="AA323" s="118">
        <v>32305.03</v>
      </c>
      <c r="AB323" s="7">
        <v>23</v>
      </c>
      <c r="AC323" s="7">
        <v>10</v>
      </c>
      <c r="AD323" s="15">
        <v>45046</v>
      </c>
      <c r="AE323" s="50">
        <v>516.46</v>
      </c>
      <c r="AF323" s="50"/>
      <c r="AG323" s="7" t="s">
        <v>72</v>
      </c>
      <c r="AH323" s="15">
        <v>45070</v>
      </c>
      <c r="AI323" s="82">
        <v>40813815</v>
      </c>
      <c r="AJ323" s="20" t="s">
        <v>397</v>
      </c>
      <c r="AK323" s="7" t="s">
        <v>409</v>
      </c>
      <c r="AL323" s="20">
        <v>516</v>
      </c>
      <c r="AM323" s="20"/>
      <c r="AN323" s="20" t="s">
        <v>401</v>
      </c>
      <c r="AO323" s="20"/>
      <c r="AP323" s="20"/>
      <c r="AQ323" s="20"/>
      <c r="AR323" s="20"/>
      <c r="AS323" s="20"/>
      <c r="AT323" s="20"/>
      <c r="AU323" s="20"/>
      <c r="AV323" s="20"/>
      <c r="AW323" s="29">
        <v>45050</v>
      </c>
      <c r="AX323" s="30">
        <v>1480</v>
      </c>
      <c r="BA323" s="20">
        <v>516</v>
      </c>
      <c r="BB323" s="20"/>
      <c r="BD323" s="7"/>
      <c r="CS323" s="9">
        <f t="shared" si="25"/>
        <v>516</v>
      </c>
      <c r="CT323" s="20">
        <f t="shared" si="26"/>
        <v>516</v>
      </c>
      <c r="CU323" s="20">
        <f t="shared" si="27"/>
        <v>0</v>
      </c>
      <c r="CV323" s="24">
        <f t="shared" si="28"/>
        <v>0.46000000000003638</v>
      </c>
    </row>
    <row r="324" spans="1:100" x14ac:dyDescent="0.2">
      <c r="A324" s="7" t="s">
        <v>155</v>
      </c>
      <c r="B324" s="1">
        <v>138</v>
      </c>
      <c r="C324" s="2" t="s">
        <v>36</v>
      </c>
      <c r="D324" s="44" t="s">
        <v>37</v>
      </c>
      <c r="E324" s="43" t="s">
        <v>22</v>
      </c>
      <c r="F324" s="43">
        <v>11</v>
      </c>
      <c r="G324" s="1" t="s">
        <v>27</v>
      </c>
      <c r="H324" s="1">
        <v>1</v>
      </c>
      <c r="I324" s="18">
        <v>120.2</v>
      </c>
      <c r="J324" s="18">
        <v>37900</v>
      </c>
      <c r="K324" s="2">
        <v>0</v>
      </c>
      <c r="L324" s="2" t="s">
        <v>3</v>
      </c>
      <c r="M324" s="7" t="s">
        <v>0</v>
      </c>
      <c r="N324" s="7" t="s">
        <v>10</v>
      </c>
      <c r="O324" s="7" t="s">
        <v>156</v>
      </c>
      <c r="S324" s="7" t="s">
        <v>96</v>
      </c>
      <c r="V324" s="8">
        <v>120.2</v>
      </c>
      <c r="W324" s="8" t="s">
        <v>196</v>
      </c>
      <c r="X324" s="15">
        <v>44639</v>
      </c>
      <c r="Y324" s="15">
        <v>45570</v>
      </c>
      <c r="Z324" s="17" t="s">
        <v>201</v>
      </c>
      <c r="AA324" s="118">
        <v>32305.03</v>
      </c>
      <c r="AB324" s="7">
        <v>23</v>
      </c>
      <c r="AC324" s="7">
        <v>11</v>
      </c>
      <c r="AD324" s="15">
        <v>45074</v>
      </c>
      <c r="AE324" s="50">
        <v>516.46</v>
      </c>
      <c r="AF324" s="50"/>
      <c r="AG324" s="7" t="s">
        <v>72</v>
      </c>
      <c r="AH324" s="15">
        <v>45084</v>
      </c>
      <c r="AI324" s="82">
        <v>40813815</v>
      </c>
      <c r="AJ324" s="20" t="s">
        <v>397</v>
      </c>
      <c r="AK324" s="7" t="s">
        <v>410</v>
      </c>
      <c r="AL324" s="20">
        <v>516.46</v>
      </c>
      <c r="AM324" s="20"/>
      <c r="AN324" s="20" t="s">
        <v>402</v>
      </c>
      <c r="AO324" s="20"/>
      <c r="AP324" s="20"/>
      <c r="AQ324" s="20"/>
      <c r="AR324" s="20"/>
      <c r="AS324" s="20"/>
      <c r="AT324" s="20"/>
      <c r="AU324" s="20"/>
      <c r="AV324" s="20"/>
      <c r="AW324" s="29">
        <v>45083</v>
      </c>
      <c r="AX324" s="30">
        <v>1599</v>
      </c>
      <c r="BA324" s="20">
        <v>516.46</v>
      </c>
      <c r="BB324" s="20"/>
      <c r="BD324" s="7"/>
      <c r="CS324" s="9">
        <f t="shared" si="25"/>
        <v>516.46</v>
      </c>
      <c r="CT324" s="20">
        <f t="shared" si="26"/>
        <v>516.46</v>
      </c>
      <c r="CU324" s="20">
        <f t="shared" si="27"/>
        <v>0</v>
      </c>
      <c r="CV324" s="24">
        <f t="shared" si="28"/>
        <v>0</v>
      </c>
    </row>
    <row r="325" spans="1:100" x14ac:dyDescent="0.2">
      <c r="A325" s="7" t="s">
        <v>155</v>
      </c>
      <c r="B325" s="1">
        <v>138</v>
      </c>
      <c r="C325" s="2" t="s">
        <v>36</v>
      </c>
      <c r="D325" s="44" t="s">
        <v>37</v>
      </c>
      <c r="E325" s="43" t="s">
        <v>22</v>
      </c>
      <c r="F325" s="43">
        <v>11</v>
      </c>
      <c r="G325" s="1" t="s">
        <v>27</v>
      </c>
      <c r="H325" s="1">
        <v>1</v>
      </c>
      <c r="I325" s="18">
        <v>120.2</v>
      </c>
      <c r="J325" s="18">
        <v>37900</v>
      </c>
      <c r="K325" s="2">
        <v>0</v>
      </c>
      <c r="L325" s="2" t="s">
        <v>3</v>
      </c>
      <c r="M325" s="7" t="s">
        <v>0</v>
      </c>
      <c r="N325" s="7" t="s">
        <v>10</v>
      </c>
      <c r="O325" s="7" t="s">
        <v>156</v>
      </c>
      <c r="S325" s="7" t="s">
        <v>96</v>
      </c>
      <c r="V325" s="8">
        <v>120.2</v>
      </c>
      <c r="W325" s="8" t="s">
        <v>196</v>
      </c>
      <c r="X325" s="15">
        <v>44639</v>
      </c>
      <c r="Y325" s="15">
        <v>45570</v>
      </c>
      <c r="Z325" s="17" t="s">
        <v>201</v>
      </c>
      <c r="AA325" s="118">
        <v>32305.03</v>
      </c>
      <c r="AB325" s="7">
        <v>23</v>
      </c>
      <c r="AC325" s="7">
        <v>12</v>
      </c>
      <c r="AD325" s="15">
        <v>45107</v>
      </c>
      <c r="AE325" s="50">
        <v>516.46</v>
      </c>
      <c r="AF325" s="50"/>
      <c r="AG325" s="7" t="s">
        <v>72</v>
      </c>
      <c r="AH325" s="15">
        <v>45117</v>
      </c>
      <c r="AI325" s="82">
        <v>40813815</v>
      </c>
      <c r="AJ325" s="20" t="s">
        <v>397</v>
      </c>
      <c r="AK325" s="7" t="s">
        <v>411</v>
      </c>
      <c r="AL325" s="20">
        <v>516.46</v>
      </c>
      <c r="AM325" s="20"/>
      <c r="AN325" s="20" t="s">
        <v>403</v>
      </c>
      <c r="AO325" s="20"/>
      <c r="AP325" s="20"/>
      <c r="AQ325" s="20"/>
      <c r="AR325" s="20"/>
      <c r="AS325" s="20"/>
      <c r="AT325" s="20"/>
      <c r="AU325" s="20"/>
      <c r="AV325" s="20"/>
      <c r="AW325" s="29">
        <v>45113</v>
      </c>
      <c r="AX325" s="30">
        <v>1677</v>
      </c>
      <c r="BA325" s="20">
        <v>516.46</v>
      </c>
      <c r="BB325" s="20"/>
      <c r="BD325" s="7"/>
      <c r="CS325" s="9">
        <f t="shared" si="25"/>
        <v>516.46</v>
      </c>
      <c r="CT325" s="20">
        <f t="shared" si="26"/>
        <v>516.46</v>
      </c>
      <c r="CU325" s="20">
        <f t="shared" si="27"/>
        <v>0</v>
      </c>
      <c r="CV325" s="24">
        <f t="shared" si="28"/>
        <v>0</v>
      </c>
    </row>
    <row r="326" spans="1:100" x14ac:dyDescent="0.2">
      <c r="A326" s="7" t="s">
        <v>155</v>
      </c>
      <c r="B326" s="1">
        <v>138</v>
      </c>
      <c r="C326" s="2" t="s">
        <v>36</v>
      </c>
      <c r="D326" s="44" t="s">
        <v>37</v>
      </c>
      <c r="E326" s="43" t="s">
        <v>22</v>
      </c>
      <c r="F326" s="43">
        <v>11</v>
      </c>
      <c r="G326" s="1" t="s">
        <v>27</v>
      </c>
      <c r="H326" s="1">
        <v>1</v>
      </c>
      <c r="I326" s="18">
        <v>120.2</v>
      </c>
      <c r="J326" s="18">
        <v>37900</v>
      </c>
      <c r="K326" s="2">
        <v>0</v>
      </c>
      <c r="L326" s="2" t="s">
        <v>3</v>
      </c>
      <c r="M326" s="7" t="s">
        <v>0</v>
      </c>
      <c r="N326" s="7" t="s">
        <v>10</v>
      </c>
      <c r="O326" s="7" t="s">
        <v>156</v>
      </c>
      <c r="S326" s="7" t="s">
        <v>96</v>
      </c>
      <c r="V326" s="8">
        <v>120.2</v>
      </c>
      <c r="W326" s="8" t="s">
        <v>196</v>
      </c>
      <c r="X326" s="15">
        <v>44639</v>
      </c>
      <c r="Y326" s="15">
        <v>45570</v>
      </c>
      <c r="Z326" s="17" t="s">
        <v>201</v>
      </c>
      <c r="AA326" s="118">
        <v>32305.03</v>
      </c>
      <c r="AB326" s="7">
        <v>23</v>
      </c>
      <c r="AC326" s="7">
        <v>13</v>
      </c>
      <c r="AD326" s="15">
        <v>45137</v>
      </c>
      <c r="AE326" s="50">
        <v>516.46</v>
      </c>
      <c r="AF326" s="50"/>
      <c r="AG326" s="7" t="s">
        <v>72</v>
      </c>
      <c r="AH326" s="15">
        <v>45188</v>
      </c>
      <c r="AI326" s="82">
        <v>40813815</v>
      </c>
      <c r="AJ326" s="20" t="s">
        <v>397</v>
      </c>
      <c r="AK326" s="7" t="s">
        <v>166</v>
      </c>
      <c r="AL326" s="20">
        <v>517</v>
      </c>
      <c r="AM326" s="20"/>
      <c r="AN326" s="20" t="s">
        <v>404</v>
      </c>
      <c r="AO326" s="20"/>
      <c r="AP326" s="20"/>
      <c r="AQ326" s="20"/>
      <c r="AR326" s="20"/>
      <c r="AS326" s="20"/>
      <c r="AT326" s="20"/>
      <c r="AU326" s="20"/>
      <c r="AV326" s="20"/>
      <c r="AW326" s="29">
        <v>45187</v>
      </c>
      <c r="AX326" s="30">
        <v>1909</v>
      </c>
      <c r="AY326" s="30"/>
      <c r="AZ326" s="30"/>
      <c r="BA326" s="20">
        <v>517</v>
      </c>
      <c r="BB326" s="20"/>
      <c r="BD326" s="7"/>
      <c r="CS326" s="9">
        <f t="shared" si="25"/>
        <v>517</v>
      </c>
      <c r="CT326" s="20">
        <f t="shared" si="26"/>
        <v>517</v>
      </c>
      <c r="CU326" s="20">
        <f t="shared" si="27"/>
        <v>0</v>
      </c>
      <c r="CV326" s="24">
        <f t="shared" si="28"/>
        <v>-0.53999999999996362</v>
      </c>
    </row>
    <row r="327" spans="1:100" x14ac:dyDescent="0.2">
      <c r="A327" s="7" t="s">
        <v>155</v>
      </c>
      <c r="B327" s="1">
        <v>138</v>
      </c>
      <c r="C327" s="2" t="s">
        <v>36</v>
      </c>
      <c r="D327" s="44" t="s">
        <v>37</v>
      </c>
      <c r="E327" s="43" t="s">
        <v>22</v>
      </c>
      <c r="F327" s="43">
        <v>11</v>
      </c>
      <c r="G327" s="1" t="s">
        <v>27</v>
      </c>
      <c r="H327" s="1">
        <v>1</v>
      </c>
      <c r="I327" s="18">
        <v>120.2</v>
      </c>
      <c r="J327" s="18">
        <v>37900</v>
      </c>
      <c r="K327" s="2">
        <v>0</v>
      </c>
      <c r="L327" s="2" t="s">
        <v>3</v>
      </c>
      <c r="M327" s="7" t="s">
        <v>0</v>
      </c>
      <c r="N327" s="7" t="s">
        <v>10</v>
      </c>
      <c r="O327" s="7" t="s">
        <v>156</v>
      </c>
      <c r="S327" s="7" t="s">
        <v>96</v>
      </c>
      <c r="V327" s="8">
        <v>120.2</v>
      </c>
      <c r="W327" s="8" t="s">
        <v>196</v>
      </c>
      <c r="X327" s="15">
        <v>44639</v>
      </c>
      <c r="Y327" s="15">
        <v>45570</v>
      </c>
      <c r="Z327" s="17" t="s">
        <v>201</v>
      </c>
      <c r="AA327" s="118">
        <v>32305.03</v>
      </c>
      <c r="AB327" s="7">
        <v>23</v>
      </c>
      <c r="AC327" s="7">
        <v>14</v>
      </c>
      <c r="AD327" s="15">
        <v>45168</v>
      </c>
      <c r="AE327" s="50">
        <v>516.46</v>
      </c>
      <c r="AF327" s="50"/>
      <c r="AG327" s="7" t="s">
        <v>72</v>
      </c>
      <c r="AH327" s="15">
        <v>45208</v>
      </c>
      <c r="AI327" s="82">
        <v>40813815</v>
      </c>
      <c r="AJ327" s="20" t="s">
        <v>397</v>
      </c>
      <c r="AK327" s="7" t="s">
        <v>412</v>
      </c>
      <c r="AL327" s="20">
        <v>517</v>
      </c>
      <c r="AM327" s="20"/>
      <c r="AN327" s="20" t="s">
        <v>405</v>
      </c>
      <c r="AO327" s="20"/>
      <c r="AP327" s="20"/>
      <c r="AQ327" s="20"/>
      <c r="AR327" s="20"/>
      <c r="AS327" s="20"/>
      <c r="AT327" s="20"/>
      <c r="AU327" s="20"/>
      <c r="AV327" s="20"/>
      <c r="AW327" s="29">
        <v>45204</v>
      </c>
      <c r="AX327" s="30">
        <v>1954</v>
      </c>
      <c r="AY327" s="30"/>
      <c r="AZ327" s="30"/>
      <c r="BA327" s="20">
        <v>517</v>
      </c>
      <c r="BB327" s="20"/>
      <c r="BD327" s="7"/>
      <c r="CS327" s="9">
        <f t="shared" si="25"/>
        <v>517</v>
      </c>
      <c r="CT327" s="20">
        <f t="shared" si="26"/>
        <v>517</v>
      </c>
      <c r="CU327" s="20">
        <f t="shared" si="27"/>
        <v>0</v>
      </c>
      <c r="CV327" s="24">
        <f t="shared" si="28"/>
        <v>-0.53999999999996362</v>
      </c>
    </row>
    <row r="328" spans="1:100" x14ac:dyDescent="0.2">
      <c r="A328" s="7" t="s">
        <v>155</v>
      </c>
      <c r="B328" s="1">
        <v>138</v>
      </c>
      <c r="C328" s="2" t="s">
        <v>36</v>
      </c>
      <c r="D328" s="44" t="s">
        <v>37</v>
      </c>
      <c r="E328" s="43" t="s">
        <v>22</v>
      </c>
      <c r="F328" s="43">
        <v>11</v>
      </c>
      <c r="G328" s="1" t="s">
        <v>27</v>
      </c>
      <c r="H328" s="1">
        <v>1</v>
      </c>
      <c r="I328" s="18">
        <v>120.2</v>
      </c>
      <c r="J328" s="18">
        <v>37900</v>
      </c>
      <c r="K328" s="2">
        <v>0</v>
      </c>
      <c r="L328" s="2" t="s">
        <v>3</v>
      </c>
      <c r="M328" s="7" t="s">
        <v>0</v>
      </c>
      <c r="N328" s="7" t="s">
        <v>10</v>
      </c>
      <c r="O328" s="7" t="s">
        <v>156</v>
      </c>
      <c r="S328" s="7" t="s">
        <v>96</v>
      </c>
      <c r="V328" s="8">
        <v>120.2</v>
      </c>
      <c r="W328" s="8" t="s">
        <v>196</v>
      </c>
      <c r="X328" s="15">
        <v>44639</v>
      </c>
      <c r="Y328" s="15">
        <v>45570</v>
      </c>
      <c r="Z328" s="17" t="s">
        <v>201</v>
      </c>
      <c r="AA328" s="118">
        <v>32305.03</v>
      </c>
      <c r="AB328" s="7">
        <v>23</v>
      </c>
      <c r="AC328" s="7">
        <v>15</v>
      </c>
      <c r="AD328" s="15">
        <v>45199</v>
      </c>
      <c r="AE328" s="50">
        <v>516.46</v>
      </c>
      <c r="AF328" s="50"/>
      <c r="AG328" s="7" t="s">
        <v>72</v>
      </c>
      <c r="AH328" s="15">
        <v>45209</v>
      </c>
      <c r="AI328" s="82">
        <v>40813815</v>
      </c>
      <c r="AJ328" s="20" t="s">
        <v>397</v>
      </c>
      <c r="AK328" s="7" t="s">
        <v>413</v>
      </c>
      <c r="AL328" s="20">
        <v>517</v>
      </c>
      <c r="AM328" s="20"/>
      <c r="AN328" s="20" t="s">
        <v>406</v>
      </c>
      <c r="AO328" s="20"/>
      <c r="AP328" s="20"/>
      <c r="AQ328" s="20"/>
      <c r="AR328" s="20"/>
      <c r="AS328" s="20"/>
      <c r="AT328" s="20"/>
      <c r="AU328" s="20"/>
      <c r="AV328" s="20"/>
      <c r="AW328" s="29">
        <v>45187</v>
      </c>
      <c r="AX328" s="30">
        <v>1909</v>
      </c>
      <c r="AY328" s="30"/>
      <c r="AZ328" s="30"/>
      <c r="BA328" s="20">
        <v>517</v>
      </c>
      <c r="BB328" s="20"/>
      <c r="BD328" s="7"/>
      <c r="CS328" s="9">
        <f t="shared" si="25"/>
        <v>517</v>
      </c>
      <c r="CT328" s="20">
        <f t="shared" si="26"/>
        <v>517</v>
      </c>
      <c r="CU328" s="20">
        <f t="shared" si="27"/>
        <v>0</v>
      </c>
      <c r="CV328" s="24">
        <f t="shared" si="28"/>
        <v>-0.53999999999996362</v>
      </c>
    </row>
    <row r="329" spans="1:100" x14ac:dyDescent="0.2">
      <c r="A329" s="7" t="s">
        <v>155</v>
      </c>
      <c r="B329" s="1">
        <v>138</v>
      </c>
      <c r="C329" s="2" t="s">
        <v>36</v>
      </c>
      <c r="D329" s="44" t="s">
        <v>37</v>
      </c>
      <c r="E329" s="43" t="s">
        <v>22</v>
      </c>
      <c r="F329" s="43">
        <v>11</v>
      </c>
      <c r="G329" s="1" t="s">
        <v>27</v>
      </c>
      <c r="H329" s="1">
        <v>1</v>
      </c>
      <c r="I329" s="18">
        <v>120.2</v>
      </c>
      <c r="J329" s="18">
        <v>37900</v>
      </c>
      <c r="K329" s="2">
        <v>0</v>
      </c>
      <c r="L329" s="2" t="s">
        <v>3</v>
      </c>
      <c r="M329" s="7" t="s">
        <v>0</v>
      </c>
      <c r="N329" s="7" t="s">
        <v>10</v>
      </c>
      <c r="O329" s="7" t="s">
        <v>156</v>
      </c>
      <c r="S329" s="7" t="s">
        <v>96</v>
      </c>
      <c r="V329" s="8">
        <v>120.2</v>
      </c>
      <c r="W329" s="8" t="s">
        <v>196</v>
      </c>
      <c r="X329" s="15">
        <v>44639</v>
      </c>
      <c r="Y329" s="15">
        <v>45570</v>
      </c>
      <c r="Z329" s="17" t="s">
        <v>201</v>
      </c>
      <c r="AA329" s="118">
        <v>32305.03</v>
      </c>
      <c r="AB329" s="7">
        <v>23</v>
      </c>
      <c r="AC329" s="7">
        <v>16</v>
      </c>
      <c r="AD329" s="15">
        <v>45229</v>
      </c>
      <c r="AE329" s="50">
        <v>516.46</v>
      </c>
      <c r="AF329" s="50"/>
      <c r="AG329" s="7" t="s">
        <v>72</v>
      </c>
      <c r="AH329" s="15">
        <v>45234</v>
      </c>
      <c r="AI329" s="82">
        <v>40813815</v>
      </c>
      <c r="AJ329" s="20" t="s">
        <v>397</v>
      </c>
      <c r="AK329" s="7" t="s">
        <v>414</v>
      </c>
      <c r="AL329" s="20">
        <v>517</v>
      </c>
      <c r="AM329" s="20"/>
      <c r="AN329" s="20" t="s">
        <v>407</v>
      </c>
      <c r="AO329" s="20"/>
      <c r="AP329" s="20"/>
      <c r="AQ329" s="20"/>
      <c r="AR329" s="20"/>
      <c r="AS329" s="20"/>
      <c r="AT329" s="20"/>
      <c r="AU329" s="20"/>
      <c r="AV329" s="20"/>
      <c r="AW329" s="29">
        <v>45232</v>
      </c>
      <c r="AX329" s="30">
        <v>2018</v>
      </c>
      <c r="BA329" s="20">
        <v>517</v>
      </c>
      <c r="BB329" s="20"/>
      <c r="BD329" s="7"/>
      <c r="CS329" s="9">
        <f t="shared" si="25"/>
        <v>517</v>
      </c>
      <c r="CT329" s="20">
        <f t="shared" si="26"/>
        <v>517</v>
      </c>
      <c r="CU329" s="20">
        <f t="shared" si="27"/>
        <v>0</v>
      </c>
      <c r="CV329" s="24">
        <f t="shared" si="28"/>
        <v>-0.53999999999996362</v>
      </c>
    </row>
    <row r="330" spans="1:100" x14ac:dyDescent="0.2">
      <c r="A330" s="7" t="s">
        <v>155</v>
      </c>
      <c r="B330" s="1">
        <v>138</v>
      </c>
      <c r="C330" s="2" t="s">
        <v>36</v>
      </c>
      <c r="D330" s="44" t="s">
        <v>37</v>
      </c>
      <c r="E330" s="43" t="s">
        <v>22</v>
      </c>
      <c r="F330" s="43">
        <v>11</v>
      </c>
      <c r="G330" s="1" t="s">
        <v>27</v>
      </c>
      <c r="H330" s="1">
        <v>1</v>
      </c>
      <c r="I330" s="18">
        <v>120.2</v>
      </c>
      <c r="J330" s="18">
        <v>37900</v>
      </c>
      <c r="K330" s="2">
        <v>0</v>
      </c>
      <c r="L330" s="2" t="s">
        <v>3</v>
      </c>
      <c r="M330" s="7" t="s">
        <v>0</v>
      </c>
      <c r="N330" s="7" t="s">
        <v>10</v>
      </c>
      <c r="O330" s="7" t="s">
        <v>156</v>
      </c>
      <c r="S330" s="7" t="s">
        <v>96</v>
      </c>
      <c r="V330" s="8">
        <v>120.2</v>
      </c>
      <c r="W330" s="8" t="s">
        <v>196</v>
      </c>
      <c r="X330" s="15">
        <v>44639</v>
      </c>
      <c r="Y330" s="15">
        <v>45570</v>
      </c>
      <c r="Z330" s="17" t="s">
        <v>201</v>
      </c>
      <c r="AA330" s="118">
        <v>32305.03</v>
      </c>
      <c r="AB330" s="7">
        <v>23</v>
      </c>
      <c r="AC330" s="7">
        <v>17</v>
      </c>
      <c r="AD330" s="15">
        <v>45260</v>
      </c>
      <c r="AE330" s="50">
        <v>516.46</v>
      </c>
      <c r="AF330" s="50"/>
      <c r="AG330" s="7" t="s">
        <v>72</v>
      </c>
      <c r="AH330" s="15">
        <v>45293</v>
      </c>
      <c r="AI330" s="82">
        <v>40813815</v>
      </c>
      <c r="AJ330" s="20" t="s">
        <v>397</v>
      </c>
      <c r="AK330" s="7" t="s">
        <v>415</v>
      </c>
      <c r="AL330" s="20">
        <v>517</v>
      </c>
      <c r="AM330" s="20"/>
      <c r="AN330" s="20" t="s">
        <v>422</v>
      </c>
      <c r="AO330" s="20"/>
      <c r="AP330" s="20"/>
      <c r="AQ330" s="20"/>
      <c r="AR330" s="20"/>
      <c r="AS330" s="20"/>
      <c r="AT330" s="20"/>
      <c r="AU330" s="20"/>
      <c r="AV330" s="20"/>
      <c r="AW330" s="29">
        <v>45290</v>
      </c>
      <c r="AX330" s="30">
        <v>2170</v>
      </c>
      <c r="BA330" s="20">
        <v>517</v>
      </c>
      <c r="BB330" s="20"/>
      <c r="BD330" s="7"/>
      <c r="CS330" s="9">
        <f t="shared" si="25"/>
        <v>517</v>
      </c>
      <c r="CT330" s="20">
        <f t="shared" si="26"/>
        <v>517</v>
      </c>
      <c r="CU330" s="20">
        <f t="shared" si="27"/>
        <v>0</v>
      </c>
      <c r="CV330" s="24">
        <f t="shared" si="28"/>
        <v>-0.53999999999996362</v>
      </c>
    </row>
    <row r="331" spans="1:100" x14ac:dyDescent="0.2">
      <c r="A331" s="7" t="s">
        <v>155</v>
      </c>
      <c r="B331" s="1">
        <v>138</v>
      </c>
      <c r="C331" s="2" t="s">
        <v>36</v>
      </c>
      <c r="D331" s="44" t="s">
        <v>37</v>
      </c>
      <c r="E331" s="43" t="s">
        <v>22</v>
      </c>
      <c r="F331" s="43">
        <v>11</v>
      </c>
      <c r="G331" s="1" t="s">
        <v>27</v>
      </c>
      <c r="H331" s="1">
        <v>1</v>
      </c>
      <c r="I331" s="18">
        <v>120.2</v>
      </c>
      <c r="J331" s="18">
        <v>37900</v>
      </c>
      <c r="K331" s="2">
        <v>0</v>
      </c>
      <c r="L331" s="2" t="s">
        <v>3</v>
      </c>
      <c r="M331" s="7" t="s">
        <v>0</v>
      </c>
      <c r="N331" s="7" t="s">
        <v>10</v>
      </c>
      <c r="O331" s="7" t="s">
        <v>156</v>
      </c>
      <c r="S331" s="7" t="s">
        <v>96</v>
      </c>
      <c r="V331" s="8">
        <v>120.2</v>
      </c>
      <c r="W331" s="8" t="s">
        <v>196</v>
      </c>
      <c r="X331" s="15">
        <v>44639</v>
      </c>
      <c r="Y331" s="15">
        <v>45570</v>
      </c>
      <c r="Z331" s="17" t="s">
        <v>201</v>
      </c>
      <c r="AA331" s="118">
        <v>32305.03</v>
      </c>
      <c r="AB331" s="7">
        <v>23</v>
      </c>
      <c r="AC331" s="7">
        <v>18</v>
      </c>
      <c r="AD331" s="15">
        <v>45290</v>
      </c>
      <c r="AE331" s="50">
        <v>516.46</v>
      </c>
      <c r="AF331" s="50"/>
      <c r="AG331" s="7" t="s">
        <v>72</v>
      </c>
      <c r="AH331" s="15">
        <v>45369</v>
      </c>
      <c r="AI331" s="82">
        <v>40813815</v>
      </c>
      <c r="AJ331" s="20" t="s">
        <v>397</v>
      </c>
      <c r="AK331" s="7" t="s">
        <v>416</v>
      </c>
      <c r="AL331" s="20">
        <v>517</v>
      </c>
      <c r="AM331" s="20"/>
      <c r="AN331" s="20" t="s">
        <v>423</v>
      </c>
      <c r="AO331" s="20"/>
      <c r="AP331" s="20"/>
      <c r="AQ331" s="20"/>
      <c r="AR331" s="20"/>
      <c r="AS331" s="20"/>
      <c r="AT331" s="20"/>
      <c r="AU331" s="20"/>
      <c r="AV331" s="20"/>
      <c r="AW331" s="29">
        <v>45369</v>
      </c>
      <c r="AX331" s="30">
        <v>2432</v>
      </c>
      <c r="BA331" s="20">
        <v>517</v>
      </c>
      <c r="BB331" s="20"/>
      <c r="BD331" s="7"/>
      <c r="CS331" s="9">
        <f t="shared" si="25"/>
        <v>517</v>
      </c>
      <c r="CT331" s="20">
        <f t="shared" si="26"/>
        <v>517</v>
      </c>
      <c r="CU331" s="20">
        <f t="shared" si="27"/>
        <v>0</v>
      </c>
      <c r="CV331" s="24">
        <f t="shared" si="28"/>
        <v>-0.53999999999996362</v>
      </c>
    </row>
    <row r="332" spans="1:100" x14ac:dyDescent="0.2">
      <c r="A332" s="7" t="s">
        <v>155</v>
      </c>
      <c r="B332" s="1">
        <v>138</v>
      </c>
      <c r="C332" s="2" t="s">
        <v>36</v>
      </c>
      <c r="D332" s="44" t="s">
        <v>37</v>
      </c>
      <c r="E332" s="43" t="s">
        <v>22</v>
      </c>
      <c r="F332" s="43">
        <v>11</v>
      </c>
      <c r="G332" s="1" t="s">
        <v>27</v>
      </c>
      <c r="H332" s="1">
        <v>1</v>
      </c>
      <c r="I332" s="18">
        <v>120.2</v>
      </c>
      <c r="J332" s="18">
        <v>37900</v>
      </c>
      <c r="K332" s="2">
        <v>0</v>
      </c>
      <c r="L332" s="2" t="s">
        <v>3</v>
      </c>
      <c r="M332" s="7" t="s">
        <v>0</v>
      </c>
      <c r="N332" s="7" t="s">
        <v>10</v>
      </c>
      <c r="O332" s="7" t="s">
        <v>156</v>
      </c>
      <c r="S332" s="7" t="s">
        <v>96</v>
      </c>
      <c r="V332" s="8">
        <v>120.2</v>
      </c>
      <c r="W332" s="8" t="s">
        <v>196</v>
      </c>
      <c r="X332" s="15">
        <v>44639</v>
      </c>
      <c r="Y332" s="15">
        <v>45570</v>
      </c>
      <c r="Z332" s="17" t="s">
        <v>201</v>
      </c>
      <c r="AA332" s="118">
        <v>32305.03</v>
      </c>
      <c r="AB332" s="7">
        <v>23</v>
      </c>
      <c r="AC332" s="7">
        <v>19</v>
      </c>
      <c r="AD332" s="15">
        <v>45321</v>
      </c>
      <c r="AE332" s="50">
        <v>516.46</v>
      </c>
      <c r="AF332" s="50"/>
      <c r="AG332" s="7" t="s">
        <v>72</v>
      </c>
      <c r="AH332" s="15">
        <v>45406</v>
      </c>
      <c r="AI332" s="82">
        <v>40813815</v>
      </c>
      <c r="AJ332" s="20" t="s">
        <v>397</v>
      </c>
      <c r="AK332" s="7" t="s">
        <v>417</v>
      </c>
      <c r="AL332" s="20">
        <v>517</v>
      </c>
      <c r="AM332" s="20"/>
      <c r="AN332" s="20" t="s">
        <v>424</v>
      </c>
      <c r="AO332" s="20"/>
      <c r="AP332" s="20"/>
      <c r="AQ332" s="20"/>
      <c r="AR332" s="20"/>
      <c r="AS332" s="20"/>
      <c r="AT332" s="20"/>
      <c r="AU332" s="20"/>
      <c r="AV332" s="20"/>
      <c r="AW332" s="29">
        <v>45404</v>
      </c>
      <c r="AX332" s="30">
        <v>2569</v>
      </c>
      <c r="BA332" s="20">
        <v>517</v>
      </c>
      <c r="BB332" s="20"/>
      <c r="BD332" s="7"/>
      <c r="CS332" s="9">
        <f t="shared" si="25"/>
        <v>517</v>
      </c>
      <c r="CT332" s="20">
        <f t="shared" si="26"/>
        <v>517</v>
      </c>
      <c r="CU332" s="20">
        <f t="shared" si="27"/>
        <v>0</v>
      </c>
      <c r="CV332" s="24">
        <f t="shared" si="28"/>
        <v>-0.53999999999996362</v>
      </c>
    </row>
    <row r="333" spans="1:100" x14ac:dyDescent="0.2">
      <c r="A333" s="7" t="s">
        <v>155</v>
      </c>
      <c r="B333" s="1">
        <v>138</v>
      </c>
      <c r="C333" s="2" t="s">
        <v>36</v>
      </c>
      <c r="D333" s="44" t="s">
        <v>37</v>
      </c>
      <c r="E333" s="43" t="s">
        <v>22</v>
      </c>
      <c r="F333" s="43">
        <v>11</v>
      </c>
      <c r="G333" s="1" t="s">
        <v>27</v>
      </c>
      <c r="H333" s="1">
        <v>1</v>
      </c>
      <c r="I333" s="18">
        <v>120.2</v>
      </c>
      <c r="J333" s="18">
        <v>37900</v>
      </c>
      <c r="K333" s="2">
        <v>0</v>
      </c>
      <c r="L333" s="2" t="s">
        <v>3</v>
      </c>
      <c r="M333" s="7" t="s">
        <v>0</v>
      </c>
      <c r="N333" s="7" t="s">
        <v>10</v>
      </c>
      <c r="O333" s="7" t="s">
        <v>156</v>
      </c>
      <c r="S333" s="7" t="s">
        <v>96</v>
      </c>
      <c r="V333" s="8">
        <v>120.2</v>
      </c>
      <c r="W333" s="8" t="s">
        <v>196</v>
      </c>
      <c r="X333" s="15">
        <v>44639</v>
      </c>
      <c r="Y333" s="15">
        <v>45570</v>
      </c>
      <c r="Z333" s="17" t="s">
        <v>201</v>
      </c>
      <c r="AA333" s="118">
        <v>32305.03</v>
      </c>
      <c r="AB333" s="7">
        <v>23</v>
      </c>
      <c r="AC333" s="7">
        <v>20</v>
      </c>
      <c r="AD333" s="15">
        <v>45351</v>
      </c>
      <c r="AE333" s="50">
        <v>516.46</v>
      </c>
      <c r="AF333" s="50"/>
      <c r="AG333" s="7" t="s">
        <v>72</v>
      </c>
      <c r="AH333" s="15">
        <v>45475</v>
      </c>
      <c r="AI333" s="82">
        <v>40813815</v>
      </c>
      <c r="AJ333" s="20" t="s">
        <v>397</v>
      </c>
      <c r="AK333" s="7" t="s">
        <v>418</v>
      </c>
      <c r="AL333" s="20">
        <v>517</v>
      </c>
      <c r="AM333" s="20"/>
      <c r="AN333" s="20" t="s">
        <v>425</v>
      </c>
      <c r="AO333" s="20"/>
      <c r="AP333" s="20"/>
      <c r="AQ333" s="20"/>
      <c r="AR333" s="20"/>
      <c r="AS333" s="20"/>
      <c r="AT333" s="20"/>
      <c r="AU333" s="20"/>
      <c r="AV333" s="20"/>
      <c r="AW333" s="29">
        <v>45475</v>
      </c>
      <c r="AX333" s="30">
        <v>2843</v>
      </c>
      <c r="BA333" s="20">
        <v>517</v>
      </c>
      <c r="BB333" s="20"/>
      <c r="BD333" s="7"/>
      <c r="CS333" s="9">
        <f t="shared" si="25"/>
        <v>517</v>
      </c>
      <c r="CT333" s="20">
        <f t="shared" si="26"/>
        <v>517</v>
      </c>
      <c r="CU333" s="20">
        <f t="shared" si="27"/>
        <v>0</v>
      </c>
      <c r="CV333" s="24">
        <f t="shared" si="28"/>
        <v>-0.53999999999996362</v>
      </c>
    </row>
    <row r="334" spans="1:100" x14ac:dyDescent="0.2">
      <c r="A334" s="7" t="s">
        <v>155</v>
      </c>
      <c r="B334" s="1">
        <v>138</v>
      </c>
      <c r="C334" s="2" t="s">
        <v>36</v>
      </c>
      <c r="D334" s="44" t="s">
        <v>37</v>
      </c>
      <c r="E334" s="43" t="s">
        <v>22</v>
      </c>
      <c r="F334" s="43">
        <v>11</v>
      </c>
      <c r="G334" s="1" t="s">
        <v>27</v>
      </c>
      <c r="H334" s="1">
        <v>1</v>
      </c>
      <c r="I334" s="18">
        <v>120.2</v>
      </c>
      <c r="J334" s="18">
        <v>37900</v>
      </c>
      <c r="K334" s="2">
        <v>0</v>
      </c>
      <c r="L334" s="2" t="s">
        <v>3</v>
      </c>
      <c r="M334" s="7" t="s">
        <v>0</v>
      </c>
      <c r="N334" s="7" t="s">
        <v>10</v>
      </c>
      <c r="O334" s="7" t="s">
        <v>156</v>
      </c>
      <c r="S334" s="7" t="s">
        <v>96</v>
      </c>
      <c r="V334" s="8">
        <v>120.2</v>
      </c>
      <c r="W334" s="8" t="s">
        <v>196</v>
      </c>
      <c r="X334" s="15">
        <v>44639</v>
      </c>
      <c r="Y334" s="15">
        <v>45570</v>
      </c>
      <c r="Z334" s="17" t="s">
        <v>201</v>
      </c>
      <c r="AA334" s="118">
        <v>32305.03</v>
      </c>
      <c r="AB334" s="7">
        <v>23</v>
      </c>
      <c r="AC334" s="7">
        <v>21</v>
      </c>
      <c r="AD334" s="15">
        <v>45381</v>
      </c>
      <c r="AE334" s="50">
        <v>516.46</v>
      </c>
      <c r="AF334" s="50"/>
      <c r="AG334" s="7" t="s">
        <v>72</v>
      </c>
      <c r="AH334" s="15">
        <v>45566</v>
      </c>
      <c r="AI334" s="82">
        <v>40813815</v>
      </c>
      <c r="AJ334" s="20" t="s">
        <v>397</v>
      </c>
      <c r="AK334" s="7" t="s">
        <v>419</v>
      </c>
      <c r="AL334" s="20">
        <v>517</v>
      </c>
      <c r="AM334" s="20"/>
      <c r="AN334" s="20" t="s">
        <v>426</v>
      </c>
      <c r="AO334" s="20"/>
      <c r="AP334" s="20"/>
      <c r="AQ334" s="20"/>
      <c r="AR334" s="20"/>
      <c r="AS334" s="20"/>
      <c r="AT334" s="20"/>
      <c r="AU334" s="20"/>
      <c r="AV334" s="20"/>
      <c r="AW334" s="29">
        <v>45565</v>
      </c>
      <c r="AX334" s="30">
        <v>3212</v>
      </c>
      <c r="BA334" s="20">
        <v>517</v>
      </c>
      <c r="BB334" s="20"/>
      <c r="BD334" s="7"/>
      <c r="CS334" s="9">
        <f t="shared" si="25"/>
        <v>517</v>
      </c>
      <c r="CT334" s="20">
        <f t="shared" si="26"/>
        <v>517</v>
      </c>
      <c r="CU334" s="20">
        <f t="shared" si="27"/>
        <v>0</v>
      </c>
      <c r="CV334" s="24">
        <f t="shared" si="28"/>
        <v>-0.53999999999996362</v>
      </c>
    </row>
    <row r="335" spans="1:100" x14ac:dyDescent="0.2">
      <c r="A335" s="7" t="s">
        <v>155</v>
      </c>
      <c r="B335" s="1">
        <v>138</v>
      </c>
      <c r="C335" s="2" t="s">
        <v>36</v>
      </c>
      <c r="D335" s="44" t="s">
        <v>37</v>
      </c>
      <c r="E335" s="43" t="s">
        <v>22</v>
      </c>
      <c r="F335" s="43">
        <v>11</v>
      </c>
      <c r="G335" s="1" t="s">
        <v>27</v>
      </c>
      <c r="H335" s="1">
        <v>1</v>
      </c>
      <c r="I335" s="18">
        <v>120.2</v>
      </c>
      <c r="J335" s="18">
        <v>37900</v>
      </c>
      <c r="K335" s="2">
        <v>0</v>
      </c>
      <c r="L335" s="2" t="s">
        <v>3</v>
      </c>
      <c r="M335" s="7" t="s">
        <v>0</v>
      </c>
      <c r="N335" s="7" t="s">
        <v>10</v>
      </c>
      <c r="O335" s="7" t="s">
        <v>156</v>
      </c>
      <c r="S335" s="7" t="s">
        <v>96</v>
      </c>
      <c r="V335" s="8">
        <v>120.2</v>
      </c>
      <c r="W335" s="8" t="s">
        <v>196</v>
      </c>
      <c r="X335" s="15">
        <v>44639</v>
      </c>
      <c r="Y335" s="15">
        <v>45570</v>
      </c>
      <c r="Z335" s="17" t="s">
        <v>201</v>
      </c>
      <c r="AA335" s="118">
        <v>32305.03</v>
      </c>
      <c r="AB335" s="7">
        <v>23</v>
      </c>
      <c r="AC335" s="7">
        <v>22</v>
      </c>
      <c r="AD335" s="15">
        <v>45412</v>
      </c>
      <c r="AE335" s="50">
        <v>516.46</v>
      </c>
      <c r="AF335" s="50"/>
      <c r="AG335" s="7" t="s">
        <v>72</v>
      </c>
      <c r="AH335" s="15">
        <v>45567</v>
      </c>
      <c r="AI335" s="82">
        <v>40813815</v>
      </c>
      <c r="AJ335" s="20" t="s">
        <v>397</v>
      </c>
      <c r="AK335" s="7" t="s">
        <v>420</v>
      </c>
      <c r="AL335" s="20">
        <v>517</v>
      </c>
      <c r="AM335" s="20"/>
      <c r="AN335" s="20" t="s">
        <v>427</v>
      </c>
      <c r="AO335" s="20"/>
      <c r="AP335" s="20"/>
      <c r="AQ335" s="20"/>
      <c r="AR335" s="20"/>
      <c r="AS335" s="20"/>
      <c r="AT335" s="20"/>
      <c r="AU335" s="20"/>
      <c r="AV335" s="20"/>
      <c r="AW335" s="15">
        <v>45567</v>
      </c>
      <c r="AX335" s="7">
        <v>3232</v>
      </c>
      <c r="BA335" s="20">
        <v>517</v>
      </c>
      <c r="BB335" s="20"/>
      <c r="BD335" s="7"/>
      <c r="CS335" s="9">
        <f t="shared" si="25"/>
        <v>517</v>
      </c>
      <c r="CT335" s="20">
        <f t="shared" si="26"/>
        <v>517</v>
      </c>
      <c r="CU335" s="20">
        <f t="shared" si="27"/>
        <v>0</v>
      </c>
      <c r="CV335" s="24">
        <f t="shared" si="28"/>
        <v>-0.53999999999996362</v>
      </c>
    </row>
    <row r="336" spans="1:100" x14ac:dyDescent="0.2">
      <c r="A336" s="7" t="s">
        <v>155</v>
      </c>
      <c r="B336" s="1">
        <v>138</v>
      </c>
      <c r="C336" s="2" t="s">
        <v>36</v>
      </c>
      <c r="D336" s="44" t="s">
        <v>37</v>
      </c>
      <c r="E336" s="43" t="s">
        <v>22</v>
      </c>
      <c r="F336" s="43">
        <v>11</v>
      </c>
      <c r="G336" s="1" t="s">
        <v>27</v>
      </c>
      <c r="H336" s="1">
        <v>1</v>
      </c>
      <c r="I336" s="18">
        <v>120.2</v>
      </c>
      <c r="J336" s="18">
        <v>37900</v>
      </c>
      <c r="K336" s="2">
        <v>0</v>
      </c>
      <c r="L336" s="2" t="s">
        <v>3</v>
      </c>
      <c r="M336" s="7" t="s">
        <v>0</v>
      </c>
      <c r="N336" s="7" t="s">
        <v>10</v>
      </c>
      <c r="O336" s="7" t="s">
        <v>156</v>
      </c>
      <c r="S336" s="7" t="s">
        <v>96</v>
      </c>
      <c r="V336" s="8">
        <v>120.2</v>
      </c>
      <c r="W336" s="8" t="s">
        <v>196</v>
      </c>
      <c r="X336" s="15">
        <v>44639</v>
      </c>
      <c r="Y336" s="15">
        <v>45570</v>
      </c>
      <c r="Z336" s="17" t="s">
        <v>201</v>
      </c>
      <c r="AA336" s="118">
        <v>32305.03</v>
      </c>
      <c r="AB336" s="7">
        <v>23</v>
      </c>
      <c r="AC336" s="7">
        <v>23</v>
      </c>
      <c r="AD336" s="15">
        <v>45442</v>
      </c>
      <c r="AE336" s="50">
        <v>516.46</v>
      </c>
      <c r="AF336" s="50"/>
      <c r="AG336" s="7" t="s">
        <v>72</v>
      </c>
      <c r="AH336" s="15">
        <v>45567</v>
      </c>
      <c r="AI336" s="82">
        <v>40813815</v>
      </c>
      <c r="AJ336" s="20" t="s">
        <v>397</v>
      </c>
      <c r="AK336" s="7" t="s">
        <v>421</v>
      </c>
      <c r="AL336" s="20">
        <v>517</v>
      </c>
      <c r="AM336" s="20"/>
      <c r="AN336" s="20" t="s">
        <v>428</v>
      </c>
      <c r="AO336" s="20"/>
      <c r="AP336" s="20"/>
      <c r="AQ336" s="20"/>
      <c r="AR336" s="20"/>
      <c r="AS336" s="20"/>
      <c r="AT336" s="20"/>
      <c r="AU336" s="20"/>
      <c r="AV336" s="20"/>
      <c r="AW336" s="15">
        <v>45567</v>
      </c>
      <c r="AX336" s="7">
        <v>3232</v>
      </c>
      <c r="BA336" s="20">
        <v>517</v>
      </c>
      <c r="BB336" s="20"/>
      <c r="BD336" s="7"/>
      <c r="CS336" s="9">
        <f t="shared" si="25"/>
        <v>517</v>
      </c>
      <c r="CT336" s="20">
        <f t="shared" si="26"/>
        <v>517</v>
      </c>
      <c r="CU336" s="20">
        <f t="shared" si="27"/>
        <v>0</v>
      </c>
      <c r="CV336" s="24">
        <f t="shared" si="28"/>
        <v>-0.53999999999996362</v>
      </c>
    </row>
    <row r="337" spans="1:100" x14ac:dyDescent="0.2">
      <c r="A337" s="7" t="s">
        <v>155</v>
      </c>
      <c r="B337" s="1">
        <v>138</v>
      </c>
      <c r="C337" s="2" t="s">
        <v>36</v>
      </c>
      <c r="D337" s="44" t="s">
        <v>37</v>
      </c>
      <c r="E337" s="43" t="s">
        <v>22</v>
      </c>
      <c r="F337" s="43">
        <v>11</v>
      </c>
      <c r="G337" s="1" t="s">
        <v>27</v>
      </c>
      <c r="H337" s="1">
        <v>1</v>
      </c>
      <c r="I337" s="18">
        <v>120.2</v>
      </c>
      <c r="J337" s="18">
        <v>37900</v>
      </c>
      <c r="K337" s="2">
        <v>0</v>
      </c>
      <c r="L337" s="2" t="s">
        <v>3</v>
      </c>
      <c r="M337" s="7" t="s">
        <v>0</v>
      </c>
      <c r="N337" s="7" t="s">
        <v>10</v>
      </c>
      <c r="O337" s="7" t="s">
        <v>156</v>
      </c>
      <c r="S337" s="7" t="s">
        <v>167</v>
      </c>
      <c r="V337" s="8">
        <v>12.5</v>
      </c>
      <c r="W337" s="8" t="s">
        <v>196</v>
      </c>
      <c r="Y337" s="15">
        <v>45031</v>
      </c>
      <c r="Z337" s="17" t="s">
        <v>201</v>
      </c>
      <c r="AA337" s="118">
        <v>5000</v>
      </c>
      <c r="AB337" s="7">
        <v>2</v>
      </c>
      <c r="AC337" s="7">
        <v>1</v>
      </c>
      <c r="AD337" s="15">
        <v>44771</v>
      </c>
      <c r="AE337" s="50">
        <v>1000</v>
      </c>
      <c r="AF337" s="50"/>
      <c r="AG337" s="7" t="s">
        <v>72</v>
      </c>
      <c r="AH337" s="87">
        <v>44771</v>
      </c>
      <c r="AI337" s="82">
        <v>40813815</v>
      </c>
      <c r="AJ337" s="20" t="s">
        <v>397</v>
      </c>
      <c r="AK337" s="20" t="s">
        <v>396</v>
      </c>
      <c r="AL337" s="20">
        <v>1000</v>
      </c>
      <c r="AM337" s="20"/>
      <c r="AN337" s="20" t="s">
        <v>392</v>
      </c>
      <c r="AO337" s="20"/>
      <c r="AP337" s="20"/>
      <c r="AQ337" s="20"/>
      <c r="AR337" s="20"/>
      <c r="AS337" s="20"/>
      <c r="AT337" s="20"/>
      <c r="AU337" s="20"/>
      <c r="AV337" s="20"/>
      <c r="AW337" s="15">
        <v>44771</v>
      </c>
      <c r="AX337" s="7">
        <v>819</v>
      </c>
      <c r="BA337" s="20">
        <v>1000</v>
      </c>
      <c r="BB337" s="20"/>
      <c r="BD337" s="7"/>
      <c r="CS337" s="9">
        <f t="shared" si="25"/>
        <v>1000</v>
      </c>
      <c r="CT337" s="20">
        <f t="shared" si="26"/>
        <v>1000</v>
      </c>
      <c r="CU337" s="20">
        <f t="shared" si="27"/>
        <v>0</v>
      </c>
      <c r="CV337" s="24">
        <f t="shared" si="28"/>
        <v>0</v>
      </c>
    </row>
    <row r="338" spans="1:100" x14ac:dyDescent="0.2">
      <c r="A338" s="7" t="s">
        <v>155</v>
      </c>
      <c r="B338" s="1">
        <v>138</v>
      </c>
      <c r="C338" s="2" t="s">
        <v>36</v>
      </c>
      <c r="D338" s="44" t="s">
        <v>37</v>
      </c>
      <c r="E338" s="43" t="s">
        <v>22</v>
      </c>
      <c r="F338" s="43">
        <v>11</v>
      </c>
      <c r="G338" s="1" t="s">
        <v>27</v>
      </c>
      <c r="H338" s="1">
        <v>1</v>
      </c>
      <c r="I338" s="18">
        <v>120.2</v>
      </c>
      <c r="J338" s="18">
        <v>37900</v>
      </c>
      <c r="K338" s="2">
        <v>0</v>
      </c>
      <c r="L338" s="2" t="s">
        <v>3</v>
      </c>
      <c r="M338" s="7" t="s">
        <v>0</v>
      </c>
      <c r="N338" s="7" t="s">
        <v>10</v>
      </c>
      <c r="O338" s="7" t="s">
        <v>156</v>
      </c>
      <c r="S338" s="7" t="s">
        <v>167</v>
      </c>
      <c r="V338" s="8">
        <v>12.5</v>
      </c>
      <c r="W338" s="8" t="s">
        <v>196</v>
      </c>
      <c r="Y338" s="15">
        <v>45031</v>
      </c>
      <c r="Z338" s="17" t="s">
        <v>201</v>
      </c>
      <c r="AA338" s="118">
        <v>5000</v>
      </c>
      <c r="AB338" s="7">
        <v>2</v>
      </c>
      <c r="AC338" s="7">
        <v>2</v>
      </c>
      <c r="AE338" s="50">
        <v>4000</v>
      </c>
      <c r="AF338" s="5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7"/>
      <c r="BA338" s="20"/>
      <c r="BB338" s="20"/>
      <c r="BD338" s="7"/>
      <c r="CS338" s="9">
        <f t="shared" si="25"/>
        <v>0</v>
      </c>
      <c r="CT338" s="20">
        <f t="shared" si="26"/>
        <v>0</v>
      </c>
      <c r="CU338" s="20">
        <f t="shared" si="27"/>
        <v>0</v>
      </c>
      <c r="CV338" s="24">
        <f t="shared" si="28"/>
        <v>4000</v>
      </c>
    </row>
    <row r="339" spans="1:100" x14ac:dyDescent="0.2">
      <c r="A339" s="7" t="s">
        <v>168</v>
      </c>
      <c r="B339" s="1">
        <v>124</v>
      </c>
      <c r="C339" s="47" t="s">
        <v>36</v>
      </c>
      <c r="D339" s="47" t="s">
        <v>37</v>
      </c>
      <c r="E339" s="46" t="s">
        <v>21</v>
      </c>
      <c r="F339" s="46">
        <v>8</v>
      </c>
      <c r="G339" s="1" t="s">
        <v>25</v>
      </c>
      <c r="H339" s="1">
        <v>1</v>
      </c>
      <c r="I339" s="18">
        <v>168.76</v>
      </c>
      <c r="J339" s="18">
        <v>51900</v>
      </c>
      <c r="K339" s="2">
        <v>0</v>
      </c>
      <c r="L339" s="2" t="s">
        <v>3</v>
      </c>
      <c r="M339" s="7" t="s">
        <v>0</v>
      </c>
      <c r="N339" s="7" t="s">
        <v>11</v>
      </c>
      <c r="O339" s="7" t="s">
        <v>169</v>
      </c>
      <c r="S339" s="7" t="s">
        <v>96</v>
      </c>
      <c r="V339" s="8">
        <v>168.76</v>
      </c>
      <c r="W339" s="8" t="s">
        <v>196</v>
      </c>
      <c r="X339" s="15">
        <v>44639</v>
      </c>
      <c r="Y339" s="15">
        <v>45570</v>
      </c>
      <c r="Z339" s="17" t="s">
        <v>201</v>
      </c>
      <c r="AA339" s="118">
        <v>43011.88</v>
      </c>
      <c r="AB339" s="7">
        <v>23</v>
      </c>
      <c r="AC339" s="7">
        <v>0</v>
      </c>
      <c r="AD339" s="15">
        <v>44639</v>
      </c>
      <c r="AE339" s="50">
        <v>20000</v>
      </c>
      <c r="AF339" s="50"/>
      <c r="AG339" s="7" t="s">
        <v>72</v>
      </c>
      <c r="AH339" s="15">
        <v>44639</v>
      </c>
      <c r="AI339" s="28" t="s">
        <v>11</v>
      </c>
      <c r="AJ339" s="15" t="s">
        <v>372</v>
      </c>
      <c r="AK339" s="7" t="s">
        <v>171</v>
      </c>
      <c r="AL339" s="20">
        <v>20000</v>
      </c>
      <c r="AM339" s="20"/>
      <c r="AN339" s="20" t="s">
        <v>373</v>
      </c>
      <c r="AO339" s="20"/>
      <c r="AP339" s="87"/>
      <c r="AQ339" s="20"/>
      <c r="AR339" s="20"/>
      <c r="AS339" s="20"/>
      <c r="AT339" s="20"/>
      <c r="AU339" s="20"/>
      <c r="AV339" s="20"/>
      <c r="AW339" s="29">
        <v>44639</v>
      </c>
      <c r="AX339" s="30">
        <v>11429</v>
      </c>
      <c r="AY339" s="7">
        <v>75520</v>
      </c>
      <c r="AZ339" s="7">
        <v>3.7759999999999998</v>
      </c>
      <c r="BA339" s="20">
        <f>+AY339/AZ339</f>
        <v>20000</v>
      </c>
      <c r="BB339" s="20"/>
      <c r="BD339" s="7"/>
      <c r="CS339" s="9">
        <f t="shared" si="25"/>
        <v>20000</v>
      </c>
      <c r="CT339" s="20">
        <f t="shared" si="26"/>
        <v>20000</v>
      </c>
      <c r="CU339" s="20">
        <f t="shared" si="27"/>
        <v>0</v>
      </c>
      <c r="CV339" s="24">
        <f t="shared" si="28"/>
        <v>0</v>
      </c>
    </row>
    <row r="340" spans="1:100" x14ac:dyDescent="0.2">
      <c r="A340" s="7" t="s">
        <v>168</v>
      </c>
      <c r="B340" s="1">
        <v>124</v>
      </c>
      <c r="C340" s="47" t="s">
        <v>36</v>
      </c>
      <c r="D340" s="47" t="s">
        <v>37</v>
      </c>
      <c r="E340" s="46" t="s">
        <v>21</v>
      </c>
      <c r="F340" s="46">
        <v>8</v>
      </c>
      <c r="G340" s="1" t="s">
        <v>25</v>
      </c>
      <c r="H340" s="1">
        <v>1</v>
      </c>
      <c r="I340" s="18">
        <v>168.76</v>
      </c>
      <c r="J340" s="18">
        <v>51900</v>
      </c>
      <c r="K340" s="2">
        <v>0</v>
      </c>
      <c r="L340" s="2" t="s">
        <v>3</v>
      </c>
      <c r="M340" s="7" t="s">
        <v>0</v>
      </c>
      <c r="N340" s="7" t="s">
        <v>11</v>
      </c>
      <c r="O340" s="7" t="s">
        <v>169</v>
      </c>
      <c r="S340" s="7" t="s">
        <v>96</v>
      </c>
      <c r="V340" s="8">
        <v>168.76</v>
      </c>
      <c r="W340" s="8" t="s">
        <v>196</v>
      </c>
      <c r="X340" s="15">
        <v>44639</v>
      </c>
      <c r="Y340" s="15">
        <v>45570</v>
      </c>
      <c r="Z340" s="17" t="s">
        <v>201</v>
      </c>
      <c r="AA340" s="118">
        <v>43011.88</v>
      </c>
      <c r="AB340" s="7">
        <v>23</v>
      </c>
      <c r="AC340" s="7">
        <v>1</v>
      </c>
      <c r="AD340" s="15">
        <v>44681</v>
      </c>
      <c r="AE340" s="50">
        <v>917.08</v>
      </c>
      <c r="AF340" s="50"/>
      <c r="AG340" s="7" t="s">
        <v>72</v>
      </c>
      <c r="AH340" s="15">
        <v>44684</v>
      </c>
      <c r="AI340" s="28" t="s">
        <v>11</v>
      </c>
      <c r="AJ340" s="15" t="s">
        <v>372</v>
      </c>
      <c r="AK340" s="7" t="s">
        <v>172</v>
      </c>
      <c r="AL340" s="20">
        <v>917.08</v>
      </c>
      <c r="AM340" s="20"/>
      <c r="AN340" s="20" t="s">
        <v>374</v>
      </c>
      <c r="AO340" s="20"/>
      <c r="AP340" s="87"/>
      <c r="AQ340" s="20"/>
      <c r="AR340" s="20"/>
      <c r="AS340" s="20"/>
      <c r="AT340" s="20"/>
      <c r="AU340" s="20"/>
      <c r="AV340" s="20"/>
      <c r="AW340" s="29">
        <v>44681</v>
      </c>
      <c r="AX340" s="30">
        <v>603</v>
      </c>
      <c r="AY340" s="30"/>
      <c r="AZ340" s="30"/>
      <c r="BA340" s="20">
        <v>917.08</v>
      </c>
      <c r="BB340" s="20"/>
      <c r="BD340" s="7"/>
      <c r="CS340" s="9">
        <f t="shared" si="25"/>
        <v>917.08</v>
      </c>
      <c r="CT340" s="20">
        <f t="shared" si="26"/>
        <v>917.08</v>
      </c>
      <c r="CU340" s="20">
        <f t="shared" si="27"/>
        <v>0</v>
      </c>
      <c r="CV340" s="24">
        <f t="shared" si="28"/>
        <v>0</v>
      </c>
    </row>
    <row r="341" spans="1:100" x14ac:dyDescent="0.2">
      <c r="A341" s="7" t="s">
        <v>168</v>
      </c>
      <c r="B341" s="1">
        <v>124</v>
      </c>
      <c r="C341" s="47" t="s">
        <v>36</v>
      </c>
      <c r="D341" s="47" t="s">
        <v>37</v>
      </c>
      <c r="E341" s="46" t="s">
        <v>21</v>
      </c>
      <c r="F341" s="46">
        <v>8</v>
      </c>
      <c r="G341" s="1" t="s">
        <v>25</v>
      </c>
      <c r="H341" s="1">
        <v>1</v>
      </c>
      <c r="I341" s="18">
        <v>168.76</v>
      </c>
      <c r="J341" s="18">
        <v>51900</v>
      </c>
      <c r="K341" s="2">
        <v>0</v>
      </c>
      <c r="L341" s="2" t="s">
        <v>3</v>
      </c>
      <c r="M341" s="7" t="s">
        <v>0</v>
      </c>
      <c r="N341" s="7" t="s">
        <v>11</v>
      </c>
      <c r="O341" s="7" t="s">
        <v>169</v>
      </c>
      <c r="S341" s="7" t="s">
        <v>96</v>
      </c>
      <c r="V341" s="8">
        <v>168.76</v>
      </c>
      <c r="W341" s="8" t="s">
        <v>196</v>
      </c>
      <c r="X341" s="15">
        <v>44639</v>
      </c>
      <c r="Y341" s="15">
        <v>45570</v>
      </c>
      <c r="Z341" s="17" t="s">
        <v>201</v>
      </c>
      <c r="AA341" s="118">
        <v>43011.88</v>
      </c>
      <c r="AB341" s="7">
        <v>23</v>
      </c>
      <c r="AC341" s="7">
        <v>2</v>
      </c>
      <c r="AD341" s="15">
        <v>44711</v>
      </c>
      <c r="AE341" s="50">
        <v>917.08</v>
      </c>
      <c r="AF341" s="50"/>
      <c r="AG341" s="7" t="s">
        <v>72</v>
      </c>
      <c r="AH341" s="15">
        <v>44721</v>
      </c>
      <c r="AI341" s="28" t="s">
        <v>11</v>
      </c>
      <c r="AJ341" s="15" t="s">
        <v>372</v>
      </c>
      <c r="AK341" s="7" t="s">
        <v>173</v>
      </c>
      <c r="AL341" s="20">
        <v>917.08</v>
      </c>
      <c r="AM341" s="20"/>
      <c r="AN341" s="20" t="s">
        <v>375</v>
      </c>
      <c r="AO341" s="20"/>
      <c r="AP341" s="87"/>
      <c r="AQ341" s="20"/>
      <c r="AR341" s="20"/>
      <c r="AS341" s="20"/>
      <c r="AT341" s="20"/>
      <c r="AU341" s="20"/>
      <c r="AV341" s="20"/>
      <c r="AW341" s="29">
        <v>44720</v>
      </c>
      <c r="AX341" s="30">
        <v>705</v>
      </c>
      <c r="BA341" s="20">
        <v>917.08</v>
      </c>
      <c r="BB341" s="20"/>
      <c r="BD341" s="7"/>
      <c r="CS341" s="9">
        <f t="shared" si="25"/>
        <v>917.08</v>
      </c>
      <c r="CT341" s="20">
        <f t="shared" si="26"/>
        <v>917.08</v>
      </c>
      <c r="CU341" s="20">
        <f t="shared" si="27"/>
        <v>0</v>
      </c>
      <c r="CV341" s="24">
        <f t="shared" si="28"/>
        <v>0</v>
      </c>
    </row>
    <row r="342" spans="1:100" x14ac:dyDescent="0.2">
      <c r="A342" s="7" t="s">
        <v>168</v>
      </c>
      <c r="B342" s="1">
        <v>124</v>
      </c>
      <c r="C342" s="47" t="s">
        <v>36</v>
      </c>
      <c r="D342" s="47" t="s">
        <v>37</v>
      </c>
      <c r="E342" s="46" t="s">
        <v>21</v>
      </c>
      <c r="F342" s="46">
        <v>8</v>
      </c>
      <c r="G342" s="1" t="s">
        <v>25</v>
      </c>
      <c r="H342" s="1">
        <v>1</v>
      </c>
      <c r="I342" s="18">
        <v>168.76</v>
      </c>
      <c r="J342" s="18">
        <v>51900</v>
      </c>
      <c r="K342" s="2">
        <v>0</v>
      </c>
      <c r="L342" s="2" t="s">
        <v>3</v>
      </c>
      <c r="M342" s="7" t="s">
        <v>0</v>
      </c>
      <c r="N342" s="7" t="s">
        <v>11</v>
      </c>
      <c r="O342" s="7" t="s">
        <v>169</v>
      </c>
      <c r="S342" s="7" t="s">
        <v>96</v>
      </c>
      <c r="V342" s="8">
        <v>168.76</v>
      </c>
      <c r="W342" s="8" t="s">
        <v>196</v>
      </c>
      <c r="X342" s="15">
        <v>44639</v>
      </c>
      <c r="Y342" s="15">
        <v>45570</v>
      </c>
      <c r="Z342" s="17" t="s">
        <v>201</v>
      </c>
      <c r="AA342" s="118">
        <v>43011.88</v>
      </c>
      <c r="AB342" s="7">
        <v>23</v>
      </c>
      <c r="AC342" s="7">
        <v>3</v>
      </c>
      <c r="AD342" s="15">
        <v>44742</v>
      </c>
      <c r="AE342" s="50">
        <v>917.08</v>
      </c>
      <c r="AF342" s="50"/>
      <c r="AG342" s="7" t="s">
        <v>72</v>
      </c>
      <c r="AH342" s="15">
        <v>44743</v>
      </c>
      <c r="AI342" s="28" t="s">
        <v>11</v>
      </c>
      <c r="AJ342" s="15" t="s">
        <v>372</v>
      </c>
      <c r="AK342" s="7" t="s">
        <v>174</v>
      </c>
      <c r="AL342" s="20">
        <v>917.08</v>
      </c>
      <c r="AM342" s="20"/>
      <c r="AN342" s="20" t="s">
        <v>376</v>
      </c>
      <c r="AO342" s="20"/>
      <c r="AP342" s="87"/>
      <c r="AQ342" s="20"/>
      <c r="AR342" s="20"/>
      <c r="AS342" s="20"/>
      <c r="AT342" s="20"/>
      <c r="AU342" s="20"/>
      <c r="AV342" s="20"/>
      <c r="AW342" s="29">
        <v>44743</v>
      </c>
      <c r="AX342" s="30">
        <v>749</v>
      </c>
      <c r="BA342" s="20">
        <v>917.08</v>
      </c>
      <c r="BB342" s="20"/>
      <c r="BD342" s="7"/>
      <c r="CS342" s="9">
        <f t="shared" si="25"/>
        <v>917.08</v>
      </c>
      <c r="CT342" s="20">
        <f t="shared" si="26"/>
        <v>917.08</v>
      </c>
      <c r="CU342" s="20">
        <f t="shared" si="27"/>
        <v>0</v>
      </c>
      <c r="CV342" s="24">
        <f t="shared" si="28"/>
        <v>0</v>
      </c>
    </row>
    <row r="343" spans="1:100" x14ac:dyDescent="0.2">
      <c r="A343" s="7" t="s">
        <v>168</v>
      </c>
      <c r="B343" s="1">
        <v>124</v>
      </c>
      <c r="C343" s="47" t="s">
        <v>36</v>
      </c>
      <c r="D343" s="47" t="s">
        <v>37</v>
      </c>
      <c r="E343" s="46" t="s">
        <v>21</v>
      </c>
      <c r="F343" s="46">
        <v>8</v>
      </c>
      <c r="G343" s="1" t="s">
        <v>25</v>
      </c>
      <c r="H343" s="1">
        <v>1</v>
      </c>
      <c r="I343" s="18">
        <v>168.76</v>
      </c>
      <c r="J343" s="18">
        <v>51900</v>
      </c>
      <c r="K343" s="2">
        <v>0</v>
      </c>
      <c r="L343" s="2" t="s">
        <v>3</v>
      </c>
      <c r="M343" s="7" t="s">
        <v>0</v>
      </c>
      <c r="N343" s="7" t="s">
        <v>11</v>
      </c>
      <c r="O343" s="7" t="s">
        <v>169</v>
      </c>
      <c r="S343" s="7" t="s">
        <v>96</v>
      </c>
      <c r="V343" s="8">
        <v>168.76</v>
      </c>
      <c r="W343" s="8" t="s">
        <v>196</v>
      </c>
      <c r="X343" s="15">
        <v>44639</v>
      </c>
      <c r="Y343" s="15">
        <v>45570</v>
      </c>
      <c r="Z343" s="17" t="s">
        <v>201</v>
      </c>
      <c r="AA343" s="118">
        <v>43011.88</v>
      </c>
      <c r="AB343" s="7">
        <v>23</v>
      </c>
      <c r="AC343" s="7">
        <v>4</v>
      </c>
      <c r="AD343" s="15">
        <v>44772</v>
      </c>
      <c r="AE343" s="50">
        <v>917.08</v>
      </c>
      <c r="AF343" s="50"/>
      <c r="AG343" s="7" t="s">
        <v>72</v>
      </c>
      <c r="AH343" s="15">
        <v>44776</v>
      </c>
      <c r="AI343" s="28" t="s">
        <v>11</v>
      </c>
      <c r="AJ343" s="15" t="s">
        <v>372</v>
      </c>
      <c r="AK343" s="7" t="s">
        <v>175</v>
      </c>
      <c r="AL343" s="20">
        <v>917.08</v>
      </c>
      <c r="AM343" s="20"/>
      <c r="AN343" s="20" t="s">
        <v>378</v>
      </c>
      <c r="AO343" s="20"/>
      <c r="AP343" s="87"/>
      <c r="AQ343" s="20"/>
      <c r="AR343" s="20"/>
      <c r="AS343" s="20"/>
      <c r="AT343" s="20"/>
      <c r="AU343" s="20"/>
      <c r="AV343" s="20"/>
      <c r="AW343" s="29">
        <v>44774</v>
      </c>
      <c r="AX343" s="30">
        <v>828</v>
      </c>
      <c r="BA343" s="20">
        <v>917.08</v>
      </c>
      <c r="BB343" s="20"/>
      <c r="BD343" s="7"/>
      <c r="CS343" s="9">
        <f t="shared" si="25"/>
        <v>917.08</v>
      </c>
      <c r="CT343" s="20">
        <f t="shared" si="26"/>
        <v>917.08</v>
      </c>
      <c r="CU343" s="20">
        <f t="shared" si="27"/>
        <v>0</v>
      </c>
      <c r="CV343" s="24">
        <f t="shared" si="28"/>
        <v>0</v>
      </c>
    </row>
    <row r="344" spans="1:100" x14ac:dyDescent="0.2">
      <c r="A344" s="7" t="s">
        <v>168</v>
      </c>
      <c r="B344" s="1">
        <v>124</v>
      </c>
      <c r="C344" s="47" t="s">
        <v>36</v>
      </c>
      <c r="D344" s="47" t="s">
        <v>37</v>
      </c>
      <c r="E344" s="46" t="s">
        <v>21</v>
      </c>
      <c r="F344" s="46">
        <v>8</v>
      </c>
      <c r="G344" s="1" t="s">
        <v>25</v>
      </c>
      <c r="H344" s="1">
        <v>1</v>
      </c>
      <c r="I344" s="18">
        <v>168.76</v>
      </c>
      <c r="J344" s="18">
        <v>51900</v>
      </c>
      <c r="K344" s="2">
        <v>0</v>
      </c>
      <c r="L344" s="2" t="s">
        <v>3</v>
      </c>
      <c r="M344" s="7" t="s">
        <v>0</v>
      </c>
      <c r="N344" s="7" t="s">
        <v>11</v>
      </c>
      <c r="O344" s="7" t="s">
        <v>169</v>
      </c>
      <c r="S344" s="7" t="s">
        <v>96</v>
      </c>
      <c r="V344" s="8">
        <v>168.76</v>
      </c>
      <c r="W344" s="8" t="s">
        <v>196</v>
      </c>
      <c r="X344" s="15">
        <v>44639</v>
      </c>
      <c r="Y344" s="15">
        <v>45570</v>
      </c>
      <c r="Z344" s="17" t="s">
        <v>201</v>
      </c>
      <c r="AA344" s="118">
        <v>43011.88</v>
      </c>
      <c r="AB344" s="7">
        <v>23</v>
      </c>
      <c r="AC344" s="7">
        <v>5</v>
      </c>
      <c r="AD344" s="15">
        <v>44803</v>
      </c>
      <c r="AE344" s="50">
        <v>917.08</v>
      </c>
      <c r="AF344" s="50"/>
      <c r="AG344" s="7" t="s">
        <v>72</v>
      </c>
      <c r="AH344" s="15">
        <v>44814</v>
      </c>
      <c r="AI344" s="28" t="s">
        <v>11</v>
      </c>
      <c r="AJ344" s="15" t="s">
        <v>372</v>
      </c>
      <c r="AK344" s="7" t="s">
        <v>176</v>
      </c>
      <c r="AL344" s="20">
        <v>917.08</v>
      </c>
      <c r="AM344" s="20"/>
      <c r="AN344" s="20" t="s">
        <v>379</v>
      </c>
      <c r="AO344" s="20"/>
      <c r="AP344" s="87"/>
      <c r="AQ344" s="20"/>
      <c r="AR344" s="20"/>
      <c r="AS344" s="20"/>
      <c r="AT344" s="20"/>
      <c r="AU344" s="20"/>
      <c r="AV344" s="20"/>
      <c r="AW344" s="29">
        <v>44813</v>
      </c>
      <c r="AX344" s="30">
        <v>933</v>
      </c>
      <c r="BA344" s="20">
        <v>917.08</v>
      </c>
      <c r="BB344" s="20"/>
      <c r="BD344" s="7"/>
      <c r="CS344" s="9">
        <f t="shared" si="25"/>
        <v>917.08</v>
      </c>
      <c r="CT344" s="20">
        <f t="shared" si="26"/>
        <v>917.08</v>
      </c>
      <c r="CU344" s="20">
        <f t="shared" si="27"/>
        <v>0</v>
      </c>
      <c r="CV344" s="24">
        <f t="shared" si="28"/>
        <v>0</v>
      </c>
    </row>
    <row r="345" spans="1:100" x14ac:dyDescent="0.2">
      <c r="A345" s="7" t="s">
        <v>168</v>
      </c>
      <c r="B345" s="1">
        <v>124</v>
      </c>
      <c r="C345" s="47" t="s">
        <v>36</v>
      </c>
      <c r="D345" s="47" t="s">
        <v>37</v>
      </c>
      <c r="E345" s="46" t="s">
        <v>21</v>
      </c>
      <c r="F345" s="46">
        <v>8</v>
      </c>
      <c r="G345" s="1" t="s">
        <v>25</v>
      </c>
      <c r="H345" s="1">
        <v>1</v>
      </c>
      <c r="I345" s="18">
        <v>168.76</v>
      </c>
      <c r="J345" s="18">
        <v>51900</v>
      </c>
      <c r="K345" s="2">
        <v>0</v>
      </c>
      <c r="L345" s="2" t="s">
        <v>3</v>
      </c>
      <c r="M345" s="7" t="s">
        <v>0</v>
      </c>
      <c r="N345" s="7" t="s">
        <v>11</v>
      </c>
      <c r="O345" s="7" t="s">
        <v>169</v>
      </c>
      <c r="S345" s="7" t="s">
        <v>96</v>
      </c>
      <c r="V345" s="8">
        <v>168.76</v>
      </c>
      <c r="W345" s="8" t="s">
        <v>196</v>
      </c>
      <c r="X345" s="15">
        <v>44639</v>
      </c>
      <c r="Y345" s="15">
        <v>45570</v>
      </c>
      <c r="Z345" s="17" t="s">
        <v>201</v>
      </c>
      <c r="AA345" s="118">
        <v>43011.88</v>
      </c>
      <c r="AB345" s="7">
        <v>23</v>
      </c>
      <c r="AC345" s="7">
        <v>6</v>
      </c>
      <c r="AD345" s="15">
        <v>44925</v>
      </c>
      <c r="AE345" s="50">
        <v>1375.62</v>
      </c>
      <c r="AF345" s="50"/>
      <c r="AG345" s="7" t="s">
        <v>72</v>
      </c>
      <c r="AH345" s="15">
        <v>45170</v>
      </c>
      <c r="AI345" s="28" t="s">
        <v>11</v>
      </c>
      <c r="AJ345" s="15" t="s">
        <v>372</v>
      </c>
      <c r="AK345" s="7" t="s">
        <v>347</v>
      </c>
      <c r="AL345" s="20">
        <v>1375.62</v>
      </c>
      <c r="AM345" s="20"/>
      <c r="AN345" s="20" t="s">
        <v>383</v>
      </c>
      <c r="AO345" s="20"/>
      <c r="AP345" s="87"/>
      <c r="AQ345" s="20"/>
      <c r="AR345" s="20"/>
      <c r="AS345" s="20"/>
      <c r="AT345" s="20"/>
      <c r="AU345" s="20"/>
      <c r="AV345" s="20"/>
      <c r="AW345" s="29">
        <v>44925</v>
      </c>
      <c r="AX345" s="30">
        <v>1125</v>
      </c>
      <c r="BA345" s="20">
        <v>1375.62</v>
      </c>
      <c r="BB345" s="20"/>
      <c r="BD345" s="7"/>
      <c r="CS345" s="9">
        <f t="shared" si="25"/>
        <v>1375.62</v>
      </c>
      <c r="CT345" s="20">
        <f t="shared" si="26"/>
        <v>1375.62</v>
      </c>
      <c r="CU345" s="20">
        <f t="shared" si="27"/>
        <v>0</v>
      </c>
      <c r="CV345" s="24">
        <f t="shared" si="28"/>
        <v>0</v>
      </c>
    </row>
    <row r="346" spans="1:100" x14ac:dyDescent="0.2">
      <c r="A346" s="7" t="s">
        <v>168</v>
      </c>
      <c r="B346" s="1">
        <v>124</v>
      </c>
      <c r="C346" s="47" t="s">
        <v>36</v>
      </c>
      <c r="D346" s="47" t="s">
        <v>37</v>
      </c>
      <c r="E346" s="46" t="s">
        <v>21</v>
      </c>
      <c r="F346" s="46">
        <v>8</v>
      </c>
      <c r="G346" s="1" t="s">
        <v>25</v>
      </c>
      <c r="H346" s="1">
        <v>1</v>
      </c>
      <c r="I346" s="18">
        <v>168.76</v>
      </c>
      <c r="J346" s="18">
        <v>51900</v>
      </c>
      <c r="K346" s="2">
        <v>0</v>
      </c>
      <c r="L346" s="2" t="s">
        <v>3</v>
      </c>
      <c r="M346" s="7" t="s">
        <v>0</v>
      </c>
      <c r="N346" s="7" t="s">
        <v>11</v>
      </c>
      <c r="O346" s="7" t="s">
        <v>169</v>
      </c>
      <c r="S346" s="7" t="s">
        <v>96</v>
      </c>
      <c r="V346" s="8">
        <v>168.76</v>
      </c>
      <c r="W346" s="8" t="s">
        <v>196</v>
      </c>
      <c r="X346" s="15">
        <v>44639</v>
      </c>
      <c r="Y346" s="15">
        <v>45570</v>
      </c>
      <c r="Z346" s="17" t="s">
        <v>201</v>
      </c>
      <c r="AA346" s="118">
        <v>43011.88</v>
      </c>
      <c r="AB346" s="7">
        <v>23</v>
      </c>
      <c r="AC346" s="7">
        <v>7</v>
      </c>
      <c r="AD346" s="15">
        <v>44956</v>
      </c>
      <c r="AE346" s="50">
        <v>1375.62</v>
      </c>
      <c r="AF346" s="50"/>
      <c r="AG346" s="7" t="s">
        <v>72</v>
      </c>
      <c r="AH346" s="15">
        <v>44959</v>
      </c>
      <c r="AI346" s="28" t="s">
        <v>11</v>
      </c>
      <c r="AJ346" s="15" t="s">
        <v>372</v>
      </c>
      <c r="AK346" s="7" t="s">
        <v>342</v>
      </c>
      <c r="AL346" s="7">
        <v>1375.62</v>
      </c>
      <c r="AM346" s="20"/>
      <c r="AN346" s="20" t="s">
        <v>350</v>
      </c>
      <c r="AO346" s="20"/>
      <c r="AP346" s="87"/>
      <c r="AQ346" s="20"/>
      <c r="AR346" s="20"/>
      <c r="AS346" s="20"/>
      <c r="AT346" s="20"/>
      <c r="AU346" s="20"/>
      <c r="AV346" s="20"/>
      <c r="AW346" s="29">
        <v>44959</v>
      </c>
      <c r="AX346" s="30">
        <v>1195</v>
      </c>
      <c r="BA346" s="20">
        <v>1375.62</v>
      </c>
      <c r="BB346" s="20"/>
      <c r="BD346" s="7"/>
      <c r="CS346" s="9">
        <f t="shared" si="25"/>
        <v>1375.62</v>
      </c>
      <c r="CT346" s="20">
        <f t="shared" si="26"/>
        <v>1375.62</v>
      </c>
      <c r="CU346" s="20">
        <f t="shared" si="27"/>
        <v>0</v>
      </c>
      <c r="CV346" s="24">
        <f t="shared" si="28"/>
        <v>0</v>
      </c>
    </row>
    <row r="347" spans="1:100" x14ac:dyDescent="0.2">
      <c r="A347" s="7" t="s">
        <v>168</v>
      </c>
      <c r="B347" s="1">
        <v>124</v>
      </c>
      <c r="C347" s="47" t="s">
        <v>36</v>
      </c>
      <c r="D347" s="47" t="s">
        <v>37</v>
      </c>
      <c r="E347" s="46" t="s">
        <v>21</v>
      </c>
      <c r="F347" s="46">
        <v>8</v>
      </c>
      <c r="G347" s="1" t="s">
        <v>25</v>
      </c>
      <c r="H347" s="1">
        <v>1</v>
      </c>
      <c r="I347" s="18">
        <v>168.76</v>
      </c>
      <c r="J347" s="18">
        <v>51900</v>
      </c>
      <c r="K347" s="2">
        <v>0</v>
      </c>
      <c r="L347" s="2" t="s">
        <v>3</v>
      </c>
      <c r="M347" s="7" t="s">
        <v>0</v>
      </c>
      <c r="N347" s="7" t="s">
        <v>11</v>
      </c>
      <c r="O347" s="7" t="s">
        <v>169</v>
      </c>
      <c r="S347" s="7" t="s">
        <v>96</v>
      </c>
      <c r="V347" s="8">
        <v>168.76</v>
      </c>
      <c r="W347" s="8" t="s">
        <v>196</v>
      </c>
      <c r="X347" s="15">
        <v>44639</v>
      </c>
      <c r="Y347" s="15">
        <v>45570</v>
      </c>
      <c r="Z347" s="17" t="s">
        <v>201</v>
      </c>
      <c r="AA347" s="118">
        <v>43011.88</v>
      </c>
      <c r="AB347" s="7">
        <v>23</v>
      </c>
      <c r="AC347" s="7">
        <v>8</v>
      </c>
      <c r="AD347" s="15">
        <v>37680</v>
      </c>
      <c r="AE347" s="50">
        <v>979.6</v>
      </c>
      <c r="AF347" s="50"/>
      <c r="AG347" s="7" t="s">
        <v>72</v>
      </c>
      <c r="AH347" s="15">
        <v>44992</v>
      </c>
      <c r="AI347" s="28" t="s">
        <v>11</v>
      </c>
      <c r="AJ347" s="15" t="s">
        <v>372</v>
      </c>
      <c r="AK347" s="7" t="s">
        <v>177</v>
      </c>
      <c r="AL347" s="20">
        <v>985.84</v>
      </c>
      <c r="AM347" s="20"/>
      <c r="AN347" s="20" t="s">
        <v>351</v>
      </c>
      <c r="AO347" s="20"/>
      <c r="AP347" s="87"/>
      <c r="AQ347" s="20"/>
      <c r="AR347" s="20"/>
      <c r="AS347" s="20"/>
      <c r="AT347" s="20"/>
      <c r="AU347" s="20"/>
      <c r="AV347" s="20"/>
      <c r="AW347" s="29">
        <v>44989</v>
      </c>
      <c r="AX347" s="30">
        <v>1296</v>
      </c>
      <c r="BA347" s="20">
        <v>985.84</v>
      </c>
      <c r="BB347" s="20"/>
      <c r="BD347" s="7"/>
      <c r="CS347" s="9">
        <f t="shared" si="25"/>
        <v>985.84</v>
      </c>
      <c r="CT347" s="20">
        <f t="shared" si="26"/>
        <v>985.84</v>
      </c>
      <c r="CU347" s="20">
        <f t="shared" si="27"/>
        <v>0</v>
      </c>
      <c r="CV347" s="24">
        <f t="shared" si="28"/>
        <v>-6.2400000000000091</v>
      </c>
    </row>
    <row r="348" spans="1:100" x14ac:dyDescent="0.2">
      <c r="A348" s="7" t="s">
        <v>168</v>
      </c>
      <c r="B348" s="1">
        <v>124</v>
      </c>
      <c r="C348" s="47" t="s">
        <v>36</v>
      </c>
      <c r="D348" s="47" t="s">
        <v>37</v>
      </c>
      <c r="E348" s="46" t="s">
        <v>21</v>
      </c>
      <c r="F348" s="46">
        <v>8</v>
      </c>
      <c r="G348" s="1" t="s">
        <v>25</v>
      </c>
      <c r="H348" s="1">
        <v>1</v>
      </c>
      <c r="I348" s="18">
        <v>168.76</v>
      </c>
      <c r="J348" s="18">
        <v>51900</v>
      </c>
      <c r="K348" s="2">
        <v>0</v>
      </c>
      <c r="L348" s="2" t="s">
        <v>3</v>
      </c>
      <c r="M348" s="7" t="s">
        <v>0</v>
      </c>
      <c r="N348" s="7" t="s">
        <v>11</v>
      </c>
      <c r="O348" s="7" t="s">
        <v>169</v>
      </c>
      <c r="S348" s="7" t="s">
        <v>96</v>
      </c>
      <c r="V348" s="8">
        <v>168.76</v>
      </c>
      <c r="W348" s="8" t="s">
        <v>196</v>
      </c>
      <c r="X348" s="15">
        <v>44639</v>
      </c>
      <c r="Y348" s="15">
        <v>45570</v>
      </c>
      <c r="Z348" s="17" t="s">
        <v>201</v>
      </c>
      <c r="AA348" s="118">
        <v>43011.88</v>
      </c>
      <c r="AB348" s="7">
        <v>23</v>
      </c>
      <c r="AC348" s="7">
        <v>9</v>
      </c>
      <c r="AD348" s="15">
        <v>45015</v>
      </c>
      <c r="AE348" s="50">
        <v>979.6</v>
      </c>
      <c r="AF348" s="50"/>
      <c r="AG348" s="7" t="s">
        <v>72</v>
      </c>
      <c r="AH348" s="15">
        <v>45029</v>
      </c>
      <c r="AI348" s="28" t="s">
        <v>11</v>
      </c>
      <c r="AJ348" s="15" t="s">
        <v>372</v>
      </c>
      <c r="AK348" s="7" t="s">
        <v>343</v>
      </c>
      <c r="AL348" s="20">
        <v>985</v>
      </c>
      <c r="AM348" s="20"/>
      <c r="AN348" s="20" t="s">
        <v>352</v>
      </c>
      <c r="AO348" s="20"/>
      <c r="AP348" s="87"/>
      <c r="AQ348" s="20"/>
      <c r="AR348" s="20"/>
      <c r="AS348" s="20"/>
      <c r="AT348" s="20"/>
      <c r="AU348" s="20"/>
      <c r="AV348" s="20"/>
      <c r="AW348" s="29">
        <v>45022</v>
      </c>
      <c r="AX348" s="30">
        <v>1388</v>
      </c>
      <c r="BA348" s="20">
        <v>985</v>
      </c>
      <c r="BB348" s="20"/>
      <c r="BD348" s="7"/>
      <c r="CS348" s="9">
        <f t="shared" ref="CS348:CS411" si="29">+AL348+AT348</f>
        <v>985</v>
      </c>
      <c r="CT348" s="20">
        <f t="shared" ref="CT348:CT411" si="30">+BA348+BG348+BM348+BS348+BY348+CE348+CK348+CQ348</f>
        <v>985</v>
      </c>
      <c r="CU348" s="20">
        <f t="shared" ref="CU348:CU411" si="31">+CS348-CT348</f>
        <v>0</v>
      </c>
      <c r="CV348" s="24">
        <f t="shared" ref="CV348:CV411" si="32">+AE348-AL348-AT348</f>
        <v>-5.3999999999999773</v>
      </c>
    </row>
    <row r="349" spans="1:100" x14ac:dyDescent="0.2">
      <c r="A349" s="7" t="s">
        <v>168</v>
      </c>
      <c r="B349" s="1">
        <v>124</v>
      </c>
      <c r="C349" s="47" t="s">
        <v>36</v>
      </c>
      <c r="D349" s="47" t="s">
        <v>37</v>
      </c>
      <c r="E349" s="46" t="s">
        <v>21</v>
      </c>
      <c r="F349" s="46">
        <v>8</v>
      </c>
      <c r="G349" s="1" t="s">
        <v>25</v>
      </c>
      <c r="H349" s="1">
        <v>1</v>
      </c>
      <c r="I349" s="18">
        <v>168.76</v>
      </c>
      <c r="J349" s="18">
        <v>51900</v>
      </c>
      <c r="K349" s="2">
        <v>0</v>
      </c>
      <c r="L349" s="2" t="s">
        <v>3</v>
      </c>
      <c r="M349" s="7" t="s">
        <v>0</v>
      </c>
      <c r="N349" s="7" t="s">
        <v>11</v>
      </c>
      <c r="O349" s="7" t="s">
        <v>169</v>
      </c>
      <c r="S349" s="7" t="s">
        <v>96</v>
      </c>
      <c r="V349" s="8">
        <v>168.76</v>
      </c>
      <c r="W349" s="8" t="s">
        <v>196</v>
      </c>
      <c r="X349" s="15">
        <v>44639</v>
      </c>
      <c r="Y349" s="15">
        <v>45570</v>
      </c>
      <c r="Z349" s="17" t="s">
        <v>201</v>
      </c>
      <c r="AA349" s="118">
        <v>43011.88</v>
      </c>
      <c r="AB349" s="7">
        <v>23</v>
      </c>
      <c r="AC349" s="7">
        <v>10</v>
      </c>
      <c r="AD349" s="15">
        <v>45046</v>
      </c>
      <c r="AE349" s="50">
        <v>979.6</v>
      </c>
      <c r="AF349" s="50"/>
      <c r="AG349" s="7" t="s">
        <v>72</v>
      </c>
      <c r="AH349" s="15">
        <v>45070</v>
      </c>
      <c r="AI349" s="28" t="s">
        <v>11</v>
      </c>
      <c r="AJ349" s="15" t="s">
        <v>372</v>
      </c>
      <c r="AK349" s="7" t="s">
        <v>344</v>
      </c>
      <c r="AL349" s="20">
        <v>965.2</v>
      </c>
      <c r="AM349" s="20"/>
      <c r="AN349" s="20" t="s">
        <v>380</v>
      </c>
      <c r="AO349" s="20"/>
      <c r="AP349" s="87"/>
      <c r="AQ349" s="20"/>
      <c r="AR349" s="20"/>
      <c r="AS349" s="20"/>
      <c r="AT349" s="20"/>
      <c r="AU349" s="20"/>
      <c r="AV349" s="20"/>
      <c r="AW349" s="29">
        <v>45050</v>
      </c>
      <c r="AX349" s="30">
        <v>1481</v>
      </c>
      <c r="BA349" s="20">
        <v>965.2</v>
      </c>
      <c r="BB349" s="20"/>
      <c r="BD349" s="7"/>
      <c r="CS349" s="9">
        <f t="shared" si="29"/>
        <v>965.2</v>
      </c>
      <c r="CT349" s="20">
        <f t="shared" si="30"/>
        <v>965.2</v>
      </c>
      <c r="CU349" s="20">
        <f t="shared" si="31"/>
        <v>0</v>
      </c>
      <c r="CV349" s="24">
        <f t="shared" si="32"/>
        <v>14.399999999999977</v>
      </c>
    </row>
    <row r="350" spans="1:100" x14ac:dyDescent="0.2">
      <c r="A350" s="7" t="s">
        <v>168</v>
      </c>
      <c r="B350" s="1">
        <v>124</v>
      </c>
      <c r="C350" s="47" t="s">
        <v>36</v>
      </c>
      <c r="D350" s="47" t="s">
        <v>37</v>
      </c>
      <c r="E350" s="46" t="s">
        <v>21</v>
      </c>
      <c r="F350" s="46">
        <v>8</v>
      </c>
      <c r="G350" s="1" t="s">
        <v>25</v>
      </c>
      <c r="H350" s="1">
        <v>1</v>
      </c>
      <c r="I350" s="18">
        <v>168.76</v>
      </c>
      <c r="J350" s="18">
        <v>51900</v>
      </c>
      <c r="K350" s="2">
        <v>0</v>
      </c>
      <c r="L350" s="2" t="s">
        <v>3</v>
      </c>
      <c r="M350" s="7" t="s">
        <v>0</v>
      </c>
      <c r="N350" s="7" t="s">
        <v>11</v>
      </c>
      <c r="O350" s="7" t="s">
        <v>169</v>
      </c>
      <c r="S350" s="7" t="s">
        <v>96</v>
      </c>
      <c r="V350" s="8">
        <v>168.76</v>
      </c>
      <c r="W350" s="8" t="s">
        <v>196</v>
      </c>
      <c r="X350" s="15">
        <v>44639</v>
      </c>
      <c r="Y350" s="15">
        <v>45570</v>
      </c>
      <c r="Z350" s="17" t="s">
        <v>201</v>
      </c>
      <c r="AA350" s="118">
        <v>43011.88</v>
      </c>
      <c r="AB350" s="7">
        <v>23</v>
      </c>
      <c r="AC350" s="7">
        <v>11</v>
      </c>
      <c r="AD350" s="15">
        <v>45076</v>
      </c>
      <c r="AE350" s="50">
        <v>979.6</v>
      </c>
      <c r="AF350" s="50"/>
      <c r="AG350" s="7" t="s">
        <v>72</v>
      </c>
      <c r="AH350" s="15">
        <v>45117</v>
      </c>
      <c r="AI350" s="28" t="s">
        <v>11</v>
      </c>
      <c r="AJ350" s="15" t="s">
        <v>372</v>
      </c>
      <c r="AK350" s="7" t="s">
        <v>345</v>
      </c>
      <c r="AL350" s="20">
        <v>979.6</v>
      </c>
      <c r="AM350" s="20"/>
      <c r="AN350" s="20" t="s">
        <v>381</v>
      </c>
      <c r="AO350" s="20"/>
      <c r="AP350" s="87"/>
      <c r="AQ350" s="20"/>
      <c r="AR350" s="20"/>
      <c r="AS350" s="20"/>
      <c r="AT350" s="20"/>
      <c r="AU350" s="20"/>
      <c r="AV350" s="20"/>
      <c r="AW350" s="29">
        <v>45083</v>
      </c>
      <c r="AX350" s="30">
        <v>1598</v>
      </c>
      <c r="BA350" s="20">
        <v>917.08</v>
      </c>
      <c r="BB350" s="20"/>
      <c r="BC350" s="15">
        <v>45113</v>
      </c>
      <c r="BD350" s="7">
        <v>1675</v>
      </c>
      <c r="BG350" s="7">
        <v>62.52</v>
      </c>
      <c r="CS350" s="9">
        <f t="shared" si="29"/>
        <v>979.6</v>
      </c>
      <c r="CT350" s="20">
        <f t="shared" si="30"/>
        <v>979.6</v>
      </c>
      <c r="CU350" s="20">
        <f t="shared" si="31"/>
        <v>0</v>
      </c>
      <c r="CV350" s="24">
        <f t="shared" si="32"/>
        <v>0</v>
      </c>
    </row>
    <row r="351" spans="1:100" x14ac:dyDescent="0.2">
      <c r="A351" s="7" t="s">
        <v>168</v>
      </c>
      <c r="B351" s="1">
        <v>124</v>
      </c>
      <c r="C351" s="47" t="s">
        <v>36</v>
      </c>
      <c r="D351" s="47" t="s">
        <v>37</v>
      </c>
      <c r="E351" s="46" t="s">
        <v>21</v>
      </c>
      <c r="F351" s="46">
        <v>8</v>
      </c>
      <c r="G351" s="1" t="s">
        <v>25</v>
      </c>
      <c r="H351" s="1">
        <v>1</v>
      </c>
      <c r="I351" s="18">
        <v>168.76</v>
      </c>
      <c r="J351" s="18">
        <v>51900</v>
      </c>
      <c r="K351" s="2">
        <v>0</v>
      </c>
      <c r="L351" s="2" t="s">
        <v>3</v>
      </c>
      <c r="M351" s="7" t="s">
        <v>0</v>
      </c>
      <c r="N351" s="7" t="s">
        <v>11</v>
      </c>
      <c r="O351" s="7" t="s">
        <v>169</v>
      </c>
      <c r="S351" s="7" t="s">
        <v>96</v>
      </c>
      <c r="V351" s="8">
        <v>168.76</v>
      </c>
      <c r="W351" s="8" t="s">
        <v>196</v>
      </c>
      <c r="X351" s="15">
        <v>44639</v>
      </c>
      <c r="Y351" s="15">
        <v>45570</v>
      </c>
      <c r="Z351" s="17" t="s">
        <v>201</v>
      </c>
      <c r="AA351" s="118">
        <v>43011.88</v>
      </c>
      <c r="AB351" s="7">
        <v>23</v>
      </c>
      <c r="AC351" s="7">
        <v>12</v>
      </c>
      <c r="AD351" s="15">
        <v>45107</v>
      </c>
      <c r="AE351" s="50">
        <v>979.6</v>
      </c>
      <c r="AF351" s="50"/>
      <c r="AG351" s="7" t="s">
        <v>72</v>
      </c>
      <c r="AH351" s="15">
        <v>45117</v>
      </c>
      <c r="AI351" s="28" t="s">
        <v>11</v>
      </c>
      <c r="AJ351" s="15" t="s">
        <v>372</v>
      </c>
      <c r="AK351" s="7" t="s">
        <v>346</v>
      </c>
      <c r="AL351" s="20">
        <v>979.6</v>
      </c>
      <c r="AM351" s="20"/>
      <c r="AN351" s="20" t="s">
        <v>382</v>
      </c>
      <c r="AO351" s="20"/>
      <c r="AP351" s="87"/>
      <c r="AQ351" s="20"/>
      <c r="AR351" s="20"/>
      <c r="AS351" s="20"/>
      <c r="AT351" s="20"/>
      <c r="AU351" s="20"/>
      <c r="AV351" s="20"/>
      <c r="AW351" s="29">
        <v>45113</v>
      </c>
      <c r="AX351" s="7">
        <v>1675</v>
      </c>
      <c r="BA351" s="20">
        <v>979.6</v>
      </c>
      <c r="BB351" s="20"/>
      <c r="BD351" s="7"/>
      <c r="CS351" s="9">
        <f t="shared" si="29"/>
        <v>979.6</v>
      </c>
      <c r="CT351" s="20">
        <f t="shared" si="30"/>
        <v>979.6</v>
      </c>
      <c r="CU351" s="20">
        <f t="shared" si="31"/>
        <v>0</v>
      </c>
      <c r="CV351" s="24">
        <f t="shared" si="32"/>
        <v>0</v>
      </c>
    </row>
    <row r="352" spans="1:100" x14ac:dyDescent="0.2">
      <c r="A352" s="7" t="s">
        <v>168</v>
      </c>
      <c r="B352" s="1">
        <v>124</v>
      </c>
      <c r="C352" s="47" t="s">
        <v>36</v>
      </c>
      <c r="D352" s="47" t="s">
        <v>37</v>
      </c>
      <c r="E352" s="46" t="s">
        <v>21</v>
      </c>
      <c r="F352" s="46">
        <v>8</v>
      </c>
      <c r="G352" s="1" t="s">
        <v>25</v>
      </c>
      <c r="H352" s="1">
        <v>1</v>
      </c>
      <c r="I352" s="18">
        <v>168.76</v>
      </c>
      <c r="J352" s="18">
        <v>51900</v>
      </c>
      <c r="K352" s="2">
        <v>0</v>
      </c>
      <c r="L352" s="2" t="s">
        <v>3</v>
      </c>
      <c r="M352" s="7" t="s">
        <v>0</v>
      </c>
      <c r="N352" s="7" t="s">
        <v>11</v>
      </c>
      <c r="O352" s="7" t="s">
        <v>169</v>
      </c>
      <c r="S352" s="7" t="s">
        <v>96</v>
      </c>
      <c r="V352" s="8">
        <v>168.76</v>
      </c>
      <c r="W352" s="8" t="s">
        <v>196</v>
      </c>
      <c r="X352" s="15">
        <v>44639</v>
      </c>
      <c r="Y352" s="15">
        <v>45570</v>
      </c>
      <c r="Z352" s="17" t="s">
        <v>201</v>
      </c>
      <c r="AA352" s="118">
        <v>43011.88</v>
      </c>
      <c r="AB352" s="7">
        <v>23</v>
      </c>
      <c r="AC352" s="7">
        <v>13</v>
      </c>
      <c r="AD352" s="15">
        <v>45137</v>
      </c>
      <c r="AE352" s="50">
        <v>979.6</v>
      </c>
      <c r="AF352" s="50"/>
      <c r="AG352" s="7" t="s">
        <v>72</v>
      </c>
      <c r="AH352" s="15">
        <v>45188</v>
      </c>
      <c r="AI352" s="28" t="s">
        <v>11</v>
      </c>
      <c r="AJ352" s="15" t="s">
        <v>372</v>
      </c>
      <c r="AK352" s="7" t="s">
        <v>179</v>
      </c>
      <c r="AL352" s="20">
        <v>980</v>
      </c>
      <c r="AM352" s="20"/>
      <c r="AN352" s="20" t="s">
        <v>384</v>
      </c>
      <c r="AO352" s="20"/>
      <c r="AP352" s="87"/>
      <c r="AQ352" s="20"/>
      <c r="AR352" s="20"/>
      <c r="AS352" s="20"/>
      <c r="AT352" s="20"/>
      <c r="AU352" s="20"/>
      <c r="AV352" s="20"/>
      <c r="AW352" s="29">
        <v>45187</v>
      </c>
      <c r="AX352" s="30">
        <v>1907</v>
      </c>
      <c r="BA352" s="20">
        <v>980</v>
      </c>
      <c r="BB352" s="20"/>
      <c r="BD352" s="7"/>
      <c r="CS352" s="9">
        <f t="shared" si="29"/>
        <v>980</v>
      </c>
      <c r="CT352" s="20">
        <f t="shared" si="30"/>
        <v>980</v>
      </c>
      <c r="CU352" s="20">
        <f t="shared" si="31"/>
        <v>0</v>
      </c>
      <c r="CV352" s="24">
        <f t="shared" si="32"/>
        <v>-0.39999999999997726</v>
      </c>
    </row>
    <row r="353" spans="1:103" x14ac:dyDescent="0.2">
      <c r="A353" s="7" t="s">
        <v>168</v>
      </c>
      <c r="B353" s="1">
        <v>124</v>
      </c>
      <c r="C353" s="47" t="s">
        <v>36</v>
      </c>
      <c r="D353" s="47" t="s">
        <v>37</v>
      </c>
      <c r="E353" s="46" t="s">
        <v>21</v>
      </c>
      <c r="F353" s="46">
        <v>8</v>
      </c>
      <c r="G353" s="1" t="s">
        <v>25</v>
      </c>
      <c r="H353" s="1">
        <v>1</v>
      </c>
      <c r="I353" s="18">
        <v>168.76</v>
      </c>
      <c r="J353" s="18">
        <v>51900</v>
      </c>
      <c r="K353" s="2">
        <v>0</v>
      </c>
      <c r="L353" s="2" t="s">
        <v>3</v>
      </c>
      <c r="M353" s="7" t="s">
        <v>0</v>
      </c>
      <c r="N353" s="7" t="s">
        <v>11</v>
      </c>
      <c r="O353" s="7" t="s">
        <v>169</v>
      </c>
      <c r="S353" s="7" t="s">
        <v>96</v>
      </c>
      <c r="V353" s="8">
        <v>168.76</v>
      </c>
      <c r="W353" s="8" t="s">
        <v>196</v>
      </c>
      <c r="X353" s="15">
        <v>44639</v>
      </c>
      <c r="Y353" s="15">
        <v>45570</v>
      </c>
      <c r="Z353" s="17" t="s">
        <v>201</v>
      </c>
      <c r="AA353" s="118">
        <v>43011.88</v>
      </c>
      <c r="AB353" s="7">
        <v>23</v>
      </c>
      <c r="AC353" s="7">
        <v>14</v>
      </c>
      <c r="AD353" s="15">
        <v>45168</v>
      </c>
      <c r="AE353" s="50">
        <v>979.6</v>
      </c>
      <c r="AF353" s="50"/>
      <c r="AG353" s="7" t="s">
        <v>72</v>
      </c>
      <c r="AH353" s="15">
        <v>45188</v>
      </c>
      <c r="AI353" s="28" t="s">
        <v>11</v>
      </c>
      <c r="AJ353" s="15" t="s">
        <v>372</v>
      </c>
      <c r="AK353" s="7" t="s">
        <v>178</v>
      </c>
      <c r="AL353" s="20">
        <v>980</v>
      </c>
      <c r="AM353" s="20"/>
      <c r="AN353" s="20" t="s">
        <v>385</v>
      </c>
      <c r="AO353" s="20"/>
      <c r="AP353" s="87"/>
      <c r="AQ353" s="20"/>
      <c r="AR353" s="20"/>
      <c r="AS353" s="20"/>
      <c r="AT353" s="20"/>
      <c r="AU353" s="20"/>
      <c r="AV353" s="20"/>
      <c r="AW353" s="29">
        <v>45187</v>
      </c>
      <c r="AX353" s="30">
        <v>1907</v>
      </c>
      <c r="BA353" s="20">
        <v>980</v>
      </c>
      <c r="BB353" s="20"/>
      <c r="BD353" s="7"/>
      <c r="CS353" s="9">
        <f t="shared" si="29"/>
        <v>980</v>
      </c>
      <c r="CT353" s="20">
        <f t="shared" si="30"/>
        <v>980</v>
      </c>
      <c r="CU353" s="20">
        <f t="shared" si="31"/>
        <v>0</v>
      </c>
      <c r="CV353" s="24">
        <f t="shared" si="32"/>
        <v>-0.39999999999997726</v>
      </c>
    </row>
    <row r="354" spans="1:103" x14ac:dyDescent="0.2">
      <c r="A354" s="7" t="s">
        <v>168</v>
      </c>
      <c r="B354" s="1">
        <v>124</v>
      </c>
      <c r="C354" s="47" t="s">
        <v>36</v>
      </c>
      <c r="D354" s="47" t="s">
        <v>37</v>
      </c>
      <c r="E354" s="46" t="s">
        <v>21</v>
      </c>
      <c r="F354" s="46">
        <v>8</v>
      </c>
      <c r="G354" s="1" t="s">
        <v>25</v>
      </c>
      <c r="H354" s="1">
        <v>1</v>
      </c>
      <c r="I354" s="18">
        <v>168.76</v>
      </c>
      <c r="J354" s="18">
        <v>51900</v>
      </c>
      <c r="K354" s="2">
        <v>0</v>
      </c>
      <c r="L354" s="2" t="s">
        <v>3</v>
      </c>
      <c r="M354" s="7" t="s">
        <v>0</v>
      </c>
      <c r="N354" s="7" t="s">
        <v>11</v>
      </c>
      <c r="O354" s="7" t="s">
        <v>169</v>
      </c>
      <c r="S354" s="7" t="s">
        <v>96</v>
      </c>
      <c r="V354" s="8">
        <v>168.76</v>
      </c>
      <c r="W354" s="8" t="s">
        <v>196</v>
      </c>
      <c r="X354" s="15">
        <v>44639</v>
      </c>
      <c r="Y354" s="15">
        <v>45570</v>
      </c>
      <c r="Z354" s="17" t="s">
        <v>201</v>
      </c>
      <c r="AA354" s="118">
        <v>43011.88</v>
      </c>
      <c r="AB354" s="7">
        <v>23</v>
      </c>
      <c r="AC354" s="7">
        <v>15</v>
      </c>
      <c r="AD354" s="15">
        <v>45199</v>
      </c>
      <c r="AE354" s="50">
        <v>979.6</v>
      </c>
      <c r="AF354" s="50"/>
      <c r="AG354" s="7" t="s">
        <v>72</v>
      </c>
      <c r="AH354" s="15">
        <v>45208</v>
      </c>
      <c r="AI354" s="28" t="s">
        <v>11</v>
      </c>
      <c r="AJ354" s="15" t="s">
        <v>372</v>
      </c>
      <c r="AK354" s="7" t="s">
        <v>348</v>
      </c>
      <c r="AL354" s="20">
        <v>980</v>
      </c>
      <c r="AM354" s="20"/>
      <c r="AN354" s="20" t="s">
        <v>386</v>
      </c>
      <c r="AO354" s="20"/>
      <c r="AP354" s="87"/>
      <c r="AQ354" s="20"/>
      <c r="AR354" s="20"/>
      <c r="AS354" s="20"/>
      <c r="AT354" s="20"/>
      <c r="AU354" s="20"/>
      <c r="AV354" s="20"/>
      <c r="AW354" s="29">
        <v>45204</v>
      </c>
      <c r="AX354" s="30">
        <v>1955</v>
      </c>
      <c r="BA354" s="20">
        <v>980</v>
      </c>
      <c r="BB354" s="20"/>
      <c r="BD354" s="7"/>
      <c r="CS354" s="9">
        <f t="shared" si="29"/>
        <v>980</v>
      </c>
      <c r="CT354" s="20">
        <f t="shared" si="30"/>
        <v>980</v>
      </c>
      <c r="CU354" s="20">
        <f t="shared" si="31"/>
        <v>0</v>
      </c>
      <c r="CV354" s="24">
        <f t="shared" si="32"/>
        <v>-0.39999999999997726</v>
      </c>
    </row>
    <row r="355" spans="1:103" x14ac:dyDescent="0.2">
      <c r="A355" s="7" t="s">
        <v>168</v>
      </c>
      <c r="B355" s="1">
        <v>124</v>
      </c>
      <c r="C355" s="47" t="s">
        <v>36</v>
      </c>
      <c r="D355" s="47" t="s">
        <v>37</v>
      </c>
      <c r="E355" s="46" t="s">
        <v>21</v>
      </c>
      <c r="F355" s="46">
        <v>8</v>
      </c>
      <c r="G355" s="1" t="s">
        <v>25</v>
      </c>
      <c r="H355" s="1">
        <v>1</v>
      </c>
      <c r="I355" s="18">
        <v>168.76</v>
      </c>
      <c r="J355" s="18">
        <v>51900</v>
      </c>
      <c r="K355" s="2">
        <v>0</v>
      </c>
      <c r="L355" s="2" t="s">
        <v>3</v>
      </c>
      <c r="M355" s="7" t="s">
        <v>0</v>
      </c>
      <c r="N355" s="7" t="s">
        <v>11</v>
      </c>
      <c r="O355" s="7" t="s">
        <v>169</v>
      </c>
      <c r="S355" s="7" t="s">
        <v>96</v>
      </c>
      <c r="V355" s="8">
        <v>168.76</v>
      </c>
      <c r="W355" s="8" t="s">
        <v>196</v>
      </c>
      <c r="X355" s="15">
        <v>44639</v>
      </c>
      <c r="Y355" s="15">
        <v>45570</v>
      </c>
      <c r="Z355" s="17" t="s">
        <v>201</v>
      </c>
      <c r="AA355" s="118">
        <v>43011.88</v>
      </c>
      <c r="AB355" s="7">
        <v>23</v>
      </c>
      <c r="AC355" s="7">
        <v>16</v>
      </c>
      <c r="AD355" s="15">
        <v>45229</v>
      </c>
      <c r="AE355" s="50">
        <v>979.6</v>
      </c>
      <c r="AF355" s="50"/>
      <c r="AG355" s="7" t="s">
        <v>72</v>
      </c>
      <c r="AH355" s="15">
        <v>45234</v>
      </c>
      <c r="AI355" s="28" t="s">
        <v>11</v>
      </c>
      <c r="AJ355" s="15" t="s">
        <v>372</v>
      </c>
      <c r="AK355" s="7" t="s">
        <v>349</v>
      </c>
      <c r="AL355" s="20">
        <v>980</v>
      </c>
      <c r="AM355" s="20"/>
      <c r="AN355" s="20" t="s">
        <v>387</v>
      </c>
      <c r="AO355" s="20"/>
      <c r="AP355" s="87"/>
      <c r="AQ355" s="20"/>
      <c r="AR355" s="20"/>
      <c r="AS355" s="20"/>
      <c r="AT355" s="20"/>
      <c r="AU355" s="20"/>
      <c r="AV355" s="20"/>
      <c r="AW355" s="29">
        <v>45232</v>
      </c>
      <c r="AX355" s="30">
        <v>2019</v>
      </c>
      <c r="BA355" s="20">
        <v>980</v>
      </c>
      <c r="BB355" s="20"/>
      <c r="BD355" s="7"/>
      <c r="CS355" s="9">
        <f t="shared" si="29"/>
        <v>980</v>
      </c>
      <c r="CT355" s="20">
        <f t="shared" si="30"/>
        <v>980</v>
      </c>
      <c r="CU355" s="20">
        <f t="shared" si="31"/>
        <v>0</v>
      </c>
      <c r="CV355" s="24">
        <f t="shared" si="32"/>
        <v>-0.39999999999997726</v>
      </c>
    </row>
    <row r="356" spans="1:103" x14ac:dyDescent="0.2">
      <c r="A356" s="7" t="s">
        <v>168</v>
      </c>
      <c r="B356" s="1">
        <v>124</v>
      </c>
      <c r="C356" s="47" t="s">
        <v>36</v>
      </c>
      <c r="D356" s="47" t="s">
        <v>37</v>
      </c>
      <c r="E356" s="46" t="s">
        <v>21</v>
      </c>
      <c r="F356" s="46">
        <v>8</v>
      </c>
      <c r="G356" s="1" t="s">
        <v>25</v>
      </c>
      <c r="H356" s="1">
        <v>1</v>
      </c>
      <c r="I356" s="18">
        <v>168.76</v>
      </c>
      <c r="J356" s="18">
        <v>51900</v>
      </c>
      <c r="K356" s="2">
        <v>0</v>
      </c>
      <c r="L356" s="2" t="s">
        <v>3</v>
      </c>
      <c r="M356" s="7" t="s">
        <v>0</v>
      </c>
      <c r="N356" s="7" t="s">
        <v>11</v>
      </c>
      <c r="O356" s="7" t="s">
        <v>169</v>
      </c>
      <c r="S356" s="7" t="s">
        <v>96</v>
      </c>
      <c r="V356" s="8">
        <v>168.76</v>
      </c>
      <c r="W356" s="8" t="s">
        <v>196</v>
      </c>
      <c r="X356" s="15">
        <v>44639</v>
      </c>
      <c r="Y356" s="15">
        <v>45570</v>
      </c>
      <c r="Z356" s="17" t="s">
        <v>201</v>
      </c>
      <c r="AA356" s="118">
        <v>43011.88</v>
      </c>
      <c r="AB356" s="7">
        <v>23</v>
      </c>
      <c r="AC356" s="7">
        <v>17</v>
      </c>
      <c r="AD356" s="15">
        <v>45260</v>
      </c>
      <c r="AE356" s="50">
        <v>979.6</v>
      </c>
      <c r="AF356" s="50"/>
      <c r="AG356" s="7" t="s">
        <v>72</v>
      </c>
      <c r="AH356" s="87">
        <v>45293</v>
      </c>
      <c r="AI356" s="28" t="s">
        <v>11</v>
      </c>
      <c r="AJ356" s="15" t="s">
        <v>372</v>
      </c>
      <c r="AK356" s="20" t="s">
        <v>353</v>
      </c>
      <c r="AL356" s="20">
        <v>980</v>
      </c>
      <c r="AM356" s="20"/>
      <c r="AN356" s="20" t="s">
        <v>360</v>
      </c>
      <c r="AO356" s="20"/>
      <c r="AP356" s="87"/>
      <c r="AQ356" s="20"/>
      <c r="AR356" s="20"/>
      <c r="AS356" s="20"/>
      <c r="AT356" s="20"/>
      <c r="AU356" s="20"/>
      <c r="AV356" s="20"/>
      <c r="AW356" s="29">
        <v>45290</v>
      </c>
      <c r="AX356" s="30">
        <v>2169</v>
      </c>
      <c r="BA356" s="20">
        <v>980</v>
      </c>
      <c r="BB356" s="20"/>
      <c r="BD356" s="7"/>
      <c r="CS356" s="9">
        <f t="shared" si="29"/>
        <v>980</v>
      </c>
      <c r="CT356" s="20">
        <f t="shared" si="30"/>
        <v>980</v>
      </c>
      <c r="CU356" s="20">
        <f t="shared" si="31"/>
        <v>0</v>
      </c>
      <c r="CV356" s="24">
        <f t="shared" si="32"/>
        <v>-0.39999999999997726</v>
      </c>
    </row>
    <row r="357" spans="1:103" x14ac:dyDescent="0.2">
      <c r="A357" s="7" t="s">
        <v>168</v>
      </c>
      <c r="B357" s="1">
        <v>124</v>
      </c>
      <c r="C357" s="47" t="s">
        <v>36</v>
      </c>
      <c r="D357" s="47" t="s">
        <v>37</v>
      </c>
      <c r="E357" s="46" t="s">
        <v>21</v>
      </c>
      <c r="F357" s="46">
        <v>8</v>
      </c>
      <c r="G357" s="1" t="s">
        <v>25</v>
      </c>
      <c r="H357" s="1">
        <v>1</v>
      </c>
      <c r="I357" s="18">
        <v>168.76</v>
      </c>
      <c r="J357" s="18">
        <v>51900</v>
      </c>
      <c r="K357" s="2">
        <v>0</v>
      </c>
      <c r="L357" s="2" t="s">
        <v>3</v>
      </c>
      <c r="M357" s="7" t="s">
        <v>0</v>
      </c>
      <c r="N357" s="7" t="s">
        <v>11</v>
      </c>
      <c r="O357" s="7" t="s">
        <v>169</v>
      </c>
      <c r="S357" s="7" t="s">
        <v>96</v>
      </c>
      <c r="V357" s="8">
        <v>168.76</v>
      </c>
      <c r="W357" s="8" t="s">
        <v>196</v>
      </c>
      <c r="X357" s="15">
        <v>44639</v>
      </c>
      <c r="Y357" s="15">
        <v>45570</v>
      </c>
      <c r="Z357" s="17" t="s">
        <v>201</v>
      </c>
      <c r="AA357" s="118">
        <v>43011.88</v>
      </c>
      <c r="AB357" s="7">
        <v>23</v>
      </c>
      <c r="AC357" s="7">
        <v>18</v>
      </c>
      <c r="AD357" s="15">
        <v>45290</v>
      </c>
      <c r="AE357" s="50">
        <v>979.6</v>
      </c>
      <c r="AF357" s="50"/>
      <c r="AG357" s="7" t="s">
        <v>72</v>
      </c>
      <c r="AH357" s="87">
        <v>45369</v>
      </c>
      <c r="AI357" s="28" t="s">
        <v>11</v>
      </c>
      <c r="AJ357" s="15" t="s">
        <v>372</v>
      </c>
      <c r="AK357" s="20" t="s">
        <v>354</v>
      </c>
      <c r="AL357" s="20">
        <v>980</v>
      </c>
      <c r="AM357" s="20"/>
      <c r="AN357" s="20" t="s">
        <v>361</v>
      </c>
      <c r="AO357" s="20"/>
      <c r="AP357" s="87"/>
      <c r="AQ357" s="20"/>
      <c r="AR357" s="20"/>
      <c r="AS357" s="20"/>
      <c r="AT357" s="20"/>
      <c r="AU357" s="20"/>
      <c r="AV357" s="20"/>
      <c r="AW357" s="29">
        <v>45369</v>
      </c>
      <c r="AX357" s="30">
        <v>2431</v>
      </c>
      <c r="BA357" s="20">
        <v>980</v>
      </c>
      <c r="BB357" s="20"/>
      <c r="BD357" s="7"/>
      <c r="CS357" s="9">
        <f t="shared" si="29"/>
        <v>980</v>
      </c>
      <c r="CT357" s="20">
        <f t="shared" si="30"/>
        <v>980</v>
      </c>
      <c r="CU357" s="20">
        <f t="shared" si="31"/>
        <v>0</v>
      </c>
      <c r="CV357" s="24">
        <f t="shared" si="32"/>
        <v>-0.39999999999997726</v>
      </c>
    </row>
    <row r="358" spans="1:103" x14ac:dyDescent="0.2">
      <c r="A358" s="7" t="s">
        <v>168</v>
      </c>
      <c r="B358" s="1">
        <v>124</v>
      </c>
      <c r="C358" s="47" t="s">
        <v>36</v>
      </c>
      <c r="D358" s="47" t="s">
        <v>37</v>
      </c>
      <c r="E358" s="46" t="s">
        <v>21</v>
      </c>
      <c r="F358" s="46">
        <v>8</v>
      </c>
      <c r="G358" s="1" t="s">
        <v>25</v>
      </c>
      <c r="H358" s="1">
        <v>1</v>
      </c>
      <c r="I358" s="18">
        <v>168.76</v>
      </c>
      <c r="J358" s="18">
        <v>51900</v>
      </c>
      <c r="K358" s="2">
        <v>0</v>
      </c>
      <c r="L358" s="2" t="s">
        <v>3</v>
      </c>
      <c r="M358" s="7" t="s">
        <v>0</v>
      </c>
      <c r="N358" s="7" t="s">
        <v>11</v>
      </c>
      <c r="O358" s="7" t="s">
        <v>169</v>
      </c>
      <c r="S358" s="7" t="s">
        <v>96</v>
      </c>
      <c r="V358" s="8">
        <v>168.76</v>
      </c>
      <c r="W358" s="8" t="s">
        <v>196</v>
      </c>
      <c r="X358" s="15">
        <v>44639</v>
      </c>
      <c r="Y358" s="15">
        <v>45570</v>
      </c>
      <c r="Z358" s="17" t="s">
        <v>201</v>
      </c>
      <c r="AA358" s="118">
        <v>43011.88</v>
      </c>
      <c r="AB358" s="7">
        <v>23</v>
      </c>
      <c r="AC358" s="7">
        <v>19</v>
      </c>
      <c r="AD358" s="15">
        <v>45321</v>
      </c>
      <c r="AE358" s="50">
        <v>979.6</v>
      </c>
      <c r="AF358" s="50"/>
      <c r="AG358" s="7" t="s">
        <v>72</v>
      </c>
      <c r="AH358" s="87">
        <v>45406</v>
      </c>
      <c r="AI358" s="28" t="s">
        <v>11</v>
      </c>
      <c r="AJ358" s="15" t="s">
        <v>372</v>
      </c>
      <c r="AK358" s="20" t="s">
        <v>355</v>
      </c>
      <c r="AL358" s="20">
        <v>980</v>
      </c>
      <c r="AM358" s="20"/>
      <c r="AN358" s="20" t="s">
        <v>362</v>
      </c>
      <c r="AO358" s="20"/>
      <c r="AP358" s="87"/>
      <c r="AQ358" s="20"/>
      <c r="AR358" s="20"/>
      <c r="AS358" s="20"/>
      <c r="AT358" s="20"/>
      <c r="AU358" s="20"/>
      <c r="AV358" s="20"/>
      <c r="AW358" s="29">
        <v>45404</v>
      </c>
      <c r="AX358" s="30">
        <v>2570</v>
      </c>
      <c r="BA358" s="20">
        <v>980</v>
      </c>
      <c r="BB358" s="20"/>
      <c r="BD358" s="7"/>
      <c r="CS358" s="9">
        <f t="shared" si="29"/>
        <v>980</v>
      </c>
      <c r="CT358" s="20">
        <f t="shared" si="30"/>
        <v>980</v>
      </c>
      <c r="CU358" s="20">
        <f t="shared" si="31"/>
        <v>0</v>
      </c>
      <c r="CV358" s="24">
        <f t="shared" si="32"/>
        <v>-0.39999999999997726</v>
      </c>
    </row>
    <row r="359" spans="1:103" x14ac:dyDescent="0.2">
      <c r="A359" s="7" t="s">
        <v>168</v>
      </c>
      <c r="B359" s="1">
        <v>124</v>
      </c>
      <c r="C359" s="47" t="s">
        <v>36</v>
      </c>
      <c r="D359" s="47" t="s">
        <v>37</v>
      </c>
      <c r="E359" s="46" t="s">
        <v>21</v>
      </c>
      <c r="F359" s="46">
        <v>8</v>
      </c>
      <c r="G359" s="1" t="s">
        <v>25</v>
      </c>
      <c r="H359" s="1">
        <v>1</v>
      </c>
      <c r="I359" s="18">
        <v>168.76</v>
      </c>
      <c r="J359" s="18">
        <v>51900</v>
      </c>
      <c r="K359" s="2">
        <v>0</v>
      </c>
      <c r="L359" s="2" t="s">
        <v>3</v>
      </c>
      <c r="M359" s="7" t="s">
        <v>0</v>
      </c>
      <c r="N359" s="7" t="s">
        <v>11</v>
      </c>
      <c r="O359" s="7" t="s">
        <v>169</v>
      </c>
      <c r="S359" s="7" t="s">
        <v>96</v>
      </c>
      <c r="V359" s="8">
        <v>168.76</v>
      </c>
      <c r="W359" s="8" t="s">
        <v>196</v>
      </c>
      <c r="X359" s="15">
        <v>44639</v>
      </c>
      <c r="Y359" s="15">
        <v>45570</v>
      </c>
      <c r="Z359" s="17" t="s">
        <v>201</v>
      </c>
      <c r="AA359" s="118">
        <v>43011.88</v>
      </c>
      <c r="AB359" s="7">
        <v>23</v>
      </c>
      <c r="AC359" s="7">
        <v>20</v>
      </c>
      <c r="AD359" s="15">
        <v>45351</v>
      </c>
      <c r="AE359" s="50">
        <v>979.6</v>
      </c>
      <c r="AF359" s="50"/>
      <c r="AG359" s="7" t="s">
        <v>72</v>
      </c>
      <c r="AH359" s="87">
        <v>45475</v>
      </c>
      <c r="AI359" s="28" t="s">
        <v>11</v>
      </c>
      <c r="AJ359" s="15" t="s">
        <v>372</v>
      </c>
      <c r="AK359" s="20" t="s">
        <v>356</v>
      </c>
      <c r="AL359" s="20">
        <v>980</v>
      </c>
      <c r="AM359" s="20"/>
      <c r="AN359" s="20" t="s">
        <v>363</v>
      </c>
      <c r="AO359" s="20"/>
      <c r="AP359" s="87"/>
      <c r="AQ359" s="20"/>
      <c r="AR359" s="20"/>
      <c r="AS359" s="20"/>
      <c r="AT359" s="20"/>
      <c r="AU359" s="20"/>
      <c r="AV359" s="20"/>
      <c r="AW359" s="29">
        <v>45475</v>
      </c>
      <c r="AX359" s="30">
        <v>2844</v>
      </c>
      <c r="BA359" s="20">
        <v>980</v>
      </c>
      <c r="BB359" s="20"/>
      <c r="BD359" s="7"/>
      <c r="CS359" s="9">
        <f t="shared" si="29"/>
        <v>980</v>
      </c>
      <c r="CT359" s="20">
        <f t="shared" si="30"/>
        <v>980</v>
      </c>
      <c r="CU359" s="20">
        <f t="shared" si="31"/>
        <v>0</v>
      </c>
      <c r="CV359" s="24">
        <f t="shared" si="32"/>
        <v>-0.39999999999997726</v>
      </c>
    </row>
    <row r="360" spans="1:103" x14ac:dyDescent="0.2">
      <c r="A360" s="7" t="s">
        <v>168</v>
      </c>
      <c r="B360" s="1">
        <v>124</v>
      </c>
      <c r="C360" s="47" t="s">
        <v>36</v>
      </c>
      <c r="D360" s="47" t="s">
        <v>37</v>
      </c>
      <c r="E360" s="46" t="s">
        <v>21</v>
      </c>
      <c r="F360" s="46">
        <v>8</v>
      </c>
      <c r="G360" s="1" t="s">
        <v>25</v>
      </c>
      <c r="H360" s="1">
        <v>1</v>
      </c>
      <c r="I360" s="18">
        <v>168.76</v>
      </c>
      <c r="J360" s="18">
        <v>51900</v>
      </c>
      <c r="K360" s="2">
        <v>0</v>
      </c>
      <c r="L360" s="2" t="s">
        <v>3</v>
      </c>
      <c r="M360" s="7" t="s">
        <v>0</v>
      </c>
      <c r="N360" s="7" t="s">
        <v>11</v>
      </c>
      <c r="O360" s="7" t="s">
        <v>169</v>
      </c>
      <c r="S360" s="7" t="s">
        <v>96</v>
      </c>
      <c r="V360" s="8">
        <v>168.76</v>
      </c>
      <c r="W360" s="8" t="s">
        <v>196</v>
      </c>
      <c r="X360" s="15">
        <v>44639</v>
      </c>
      <c r="Y360" s="15">
        <v>45570</v>
      </c>
      <c r="Z360" s="17" t="s">
        <v>201</v>
      </c>
      <c r="AA360" s="118">
        <v>43011.88</v>
      </c>
      <c r="AB360" s="7">
        <v>23</v>
      </c>
      <c r="AC360" s="7">
        <v>21</v>
      </c>
      <c r="AD360" s="15">
        <v>45381</v>
      </c>
      <c r="AE360" s="50">
        <v>979.6</v>
      </c>
      <c r="AF360" s="50"/>
      <c r="AG360" s="7" t="s">
        <v>72</v>
      </c>
      <c r="AH360" s="87">
        <v>45566</v>
      </c>
      <c r="AI360" s="28" t="s">
        <v>11</v>
      </c>
      <c r="AJ360" s="15" t="s">
        <v>372</v>
      </c>
      <c r="AK360" s="20" t="s">
        <v>357</v>
      </c>
      <c r="AL360" s="20">
        <v>980</v>
      </c>
      <c r="AM360" s="20"/>
      <c r="AN360" s="20" t="s">
        <v>364</v>
      </c>
      <c r="AO360" s="20"/>
      <c r="AP360" s="87"/>
      <c r="AQ360" s="20"/>
      <c r="AR360" s="20"/>
      <c r="AS360" s="20"/>
      <c r="AT360" s="20"/>
      <c r="AU360" s="20"/>
      <c r="AV360" s="20"/>
      <c r="AW360" s="29">
        <v>45565</v>
      </c>
      <c r="AX360" s="30">
        <v>3213</v>
      </c>
      <c r="BA360" s="20">
        <v>980</v>
      </c>
      <c r="BB360" s="20"/>
      <c r="BD360" s="7"/>
      <c r="CS360" s="9">
        <f t="shared" si="29"/>
        <v>980</v>
      </c>
      <c r="CT360" s="20">
        <f t="shared" si="30"/>
        <v>980</v>
      </c>
      <c r="CU360" s="20">
        <f t="shared" si="31"/>
        <v>0</v>
      </c>
      <c r="CV360" s="24">
        <f t="shared" si="32"/>
        <v>-0.39999999999997726</v>
      </c>
    </row>
    <row r="361" spans="1:103" x14ac:dyDescent="0.2">
      <c r="A361" s="7" t="s">
        <v>168</v>
      </c>
      <c r="B361" s="1">
        <v>124</v>
      </c>
      <c r="C361" s="47" t="s">
        <v>36</v>
      </c>
      <c r="D361" s="47" t="s">
        <v>37</v>
      </c>
      <c r="E361" s="46" t="s">
        <v>21</v>
      </c>
      <c r="F361" s="46">
        <v>8</v>
      </c>
      <c r="G361" s="1" t="s">
        <v>25</v>
      </c>
      <c r="H361" s="1">
        <v>1</v>
      </c>
      <c r="I361" s="18">
        <v>168.76</v>
      </c>
      <c r="J361" s="18">
        <v>51900</v>
      </c>
      <c r="K361" s="2">
        <v>0</v>
      </c>
      <c r="L361" s="2" t="s">
        <v>3</v>
      </c>
      <c r="M361" s="7" t="s">
        <v>0</v>
      </c>
      <c r="N361" s="7" t="s">
        <v>11</v>
      </c>
      <c r="O361" s="7" t="s">
        <v>169</v>
      </c>
      <c r="S361" s="7" t="s">
        <v>96</v>
      </c>
      <c r="V361" s="8">
        <v>168.76</v>
      </c>
      <c r="W361" s="8" t="s">
        <v>196</v>
      </c>
      <c r="X361" s="15">
        <v>44639</v>
      </c>
      <c r="Y361" s="15">
        <v>45570</v>
      </c>
      <c r="Z361" s="17" t="s">
        <v>201</v>
      </c>
      <c r="AA361" s="118">
        <v>43011.88</v>
      </c>
      <c r="AB361" s="7">
        <v>23</v>
      </c>
      <c r="AC361" s="7">
        <v>22</v>
      </c>
      <c r="AD361" s="15">
        <v>45412</v>
      </c>
      <c r="AE361" s="50">
        <v>979.6</v>
      </c>
      <c r="AF361" s="50"/>
      <c r="AG361" s="7" t="s">
        <v>72</v>
      </c>
      <c r="AH361" s="87">
        <v>45567</v>
      </c>
      <c r="AI361" s="28" t="s">
        <v>11</v>
      </c>
      <c r="AJ361" s="15" t="s">
        <v>372</v>
      </c>
      <c r="AK361" s="20" t="s">
        <v>358</v>
      </c>
      <c r="AL361" s="20">
        <v>980</v>
      </c>
      <c r="AM361" s="20"/>
      <c r="AN361" s="20" t="s">
        <v>365</v>
      </c>
      <c r="AO361" s="20"/>
      <c r="AP361" s="87"/>
      <c r="AQ361" s="20"/>
      <c r="AR361" s="20"/>
      <c r="AS361" s="20"/>
      <c r="AT361" s="20"/>
      <c r="AU361" s="20"/>
      <c r="AV361" s="20"/>
      <c r="AW361" s="15">
        <v>45567</v>
      </c>
      <c r="AX361" s="7">
        <v>3234</v>
      </c>
      <c r="BA361" s="20">
        <v>980</v>
      </c>
      <c r="BB361" s="20"/>
      <c r="BD361" s="7"/>
      <c r="CS361" s="9">
        <f t="shared" si="29"/>
        <v>980</v>
      </c>
      <c r="CT361" s="20">
        <f t="shared" si="30"/>
        <v>980</v>
      </c>
      <c r="CU361" s="20">
        <f t="shared" si="31"/>
        <v>0</v>
      </c>
      <c r="CV361" s="24">
        <f t="shared" si="32"/>
        <v>-0.39999999999997726</v>
      </c>
    </row>
    <row r="362" spans="1:103" x14ac:dyDescent="0.2">
      <c r="A362" s="7" t="s">
        <v>168</v>
      </c>
      <c r="B362" s="1">
        <v>124</v>
      </c>
      <c r="C362" s="47" t="s">
        <v>36</v>
      </c>
      <c r="D362" s="47" t="s">
        <v>37</v>
      </c>
      <c r="E362" s="46" t="s">
        <v>21</v>
      </c>
      <c r="F362" s="46">
        <v>8</v>
      </c>
      <c r="G362" s="1" t="s">
        <v>25</v>
      </c>
      <c r="H362" s="1">
        <v>1</v>
      </c>
      <c r="I362" s="18">
        <v>168.76</v>
      </c>
      <c r="J362" s="18">
        <v>51900</v>
      </c>
      <c r="K362" s="2">
        <v>0</v>
      </c>
      <c r="L362" s="2" t="s">
        <v>3</v>
      </c>
      <c r="M362" s="7" t="s">
        <v>0</v>
      </c>
      <c r="N362" s="7" t="s">
        <v>11</v>
      </c>
      <c r="O362" s="7" t="s">
        <v>169</v>
      </c>
      <c r="S362" s="7" t="s">
        <v>96</v>
      </c>
      <c r="V362" s="8">
        <v>168.76</v>
      </c>
      <c r="W362" s="8" t="s">
        <v>196</v>
      </c>
      <c r="X362" s="15">
        <v>44639</v>
      </c>
      <c r="Y362" s="15">
        <v>45570</v>
      </c>
      <c r="Z362" s="17" t="s">
        <v>201</v>
      </c>
      <c r="AA362" s="118">
        <v>43011.88</v>
      </c>
      <c r="AB362" s="7">
        <v>23</v>
      </c>
      <c r="AC362" s="7">
        <v>23</v>
      </c>
      <c r="AD362" s="15">
        <v>45442</v>
      </c>
      <c r="AE362" s="50">
        <v>979.6</v>
      </c>
      <c r="AF362" s="50"/>
      <c r="AG362" s="7" t="s">
        <v>72</v>
      </c>
      <c r="AH362" s="87">
        <v>45567</v>
      </c>
      <c r="AI362" s="28" t="s">
        <v>11</v>
      </c>
      <c r="AJ362" s="15" t="s">
        <v>372</v>
      </c>
      <c r="AK362" s="20" t="s">
        <v>359</v>
      </c>
      <c r="AL362" s="20">
        <v>980</v>
      </c>
      <c r="AM362" s="20"/>
      <c r="AN362" s="20" t="s">
        <v>366</v>
      </c>
      <c r="AO362" s="20"/>
      <c r="AP362" s="87"/>
      <c r="AQ362" s="20"/>
      <c r="AR362" s="20"/>
      <c r="AS362" s="20"/>
      <c r="AT362" s="20"/>
      <c r="AU362" s="20"/>
      <c r="AV362" s="20"/>
      <c r="AW362" s="15">
        <v>45567</v>
      </c>
      <c r="AX362" s="7">
        <v>3234</v>
      </c>
      <c r="BA362" s="20">
        <v>980</v>
      </c>
      <c r="BB362" s="20"/>
      <c r="BD362" s="7"/>
      <c r="CS362" s="9">
        <f t="shared" si="29"/>
        <v>980</v>
      </c>
      <c r="CT362" s="20">
        <f t="shared" si="30"/>
        <v>980</v>
      </c>
      <c r="CU362" s="20">
        <f t="shared" si="31"/>
        <v>0</v>
      </c>
      <c r="CV362" s="24">
        <f t="shared" si="32"/>
        <v>-0.39999999999997726</v>
      </c>
    </row>
    <row r="363" spans="1:103" x14ac:dyDescent="0.2">
      <c r="A363" s="7" t="s">
        <v>168</v>
      </c>
      <c r="B363" s="1">
        <v>124</v>
      </c>
      <c r="C363" s="47" t="s">
        <v>36</v>
      </c>
      <c r="D363" s="47" t="s">
        <v>37</v>
      </c>
      <c r="E363" s="46" t="s">
        <v>21</v>
      </c>
      <c r="F363" s="46">
        <v>8</v>
      </c>
      <c r="G363" s="1" t="s">
        <v>25</v>
      </c>
      <c r="H363" s="1">
        <v>1</v>
      </c>
      <c r="I363" s="18">
        <v>168.76</v>
      </c>
      <c r="J363" s="18">
        <v>51900</v>
      </c>
      <c r="K363" s="2">
        <v>0</v>
      </c>
      <c r="L363" s="2" t="s">
        <v>3</v>
      </c>
      <c r="M363" s="7" t="s">
        <v>0</v>
      </c>
      <c r="N363" s="7" t="s">
        <v>11</v>
      </c>
      <c r="O363" s="7" t="s">
        <v>169</v>
      </c>
      <c r="S363" s="7" t="s">
        <v>170</v>
      </c>
      <c r="V363" s="8">
        <v>12.5</v>
      </c>
      <c r="W363" s="8" t="s">
        <v>196</v>
      </c>
      <c r="X363" s="15">
        <v>44639</v>
      </c>
      <c r="Y363" s="15">
        <v>45031</v>
      </c>
      <c r="Z363" s="17" t="s">
        <v>201</v>
      </c>
      <c r="AA363" s="118">
        <v>5000</v>
      </c>
      <c r="AB363" s="7">
        <v>2</v>
      </c>
      <c r="AC363" s="7">
        <v>1</v>
      </c>
      <c r="AD363" s="15">
        <v>44771</v>
      </c>
      <c r="AE363" s="50">
        <v>1000</v>
      </c>
      <c r="AF363" s="50"/>
      <c r="AG363" s="7" t="s">
        <v>72</v>
      </c>
      <c r="AH363" s="15">
        <v>44771</v>
      </c>
      <c r="AI363" s="28" t="s">
        <v>11</v>
      </c>
      <c r="AJ363" s="15" t="s">
        <v>372</v>
      </c>
      <c r="AK363" s="7" t="s">
        <v>180</v>
      </c>
      <c r="AL363" s="20">
        <v>1000</v>
      </c>
      <c r="AM363" s="20"/>
      <c r="AN363" s="20" t="s">
        <v>377</v>
      </c>
      <c r="AO363" s="20"/>
      <c r="AP363" s="87"/>
      <c r="AQ363" s="20"/>
      <c r="AR363" s="20"/>
      <c r="AS363" s="20"/>
      <c r="AT363" s="20"/>
      <c r="AU363" s="20"/>
      <c r="AV363" s="20"/>
      <c r="AW363" s="29">
        <v>44771</v>
      </c>
      <c r="AX363" s="30">
        <v>817</v>
      </c>
      <c r="BA363" s="20">
        <v>1000</v>
      </c>
      <c r="BB363" s="20"/>
      <c r="BD363" s="7"/>
      <c r="CS363" s="9">
        <f t="shared" si="29"/>
        <v>1000</v>
      </c>
      <c r="CT363" s="20">
        <f t="shared" si="30"/>
        <v>1000</v>
      </c>
      <c r="CU363" s="20">
        <f t="shared" si="31"/>
        <v>0</v>
      </c>
      <c r="CV363" s="24">
        <f t="shared" si="32"/>
        <v>0</v>
      </c>
    </row>
    <row r="364" spans="1:103" x14ac:dyDescent="0.2">
      <c r="A364" s="7" t="s">
        <v>168</v>
      </c>
      <c r="B364" s="1">
        <v>124</v>
      </c>
      <c r="C364" s="47" t="s">
        <v>36</v>
      </c>
      <c r="D364" s="47" t="s">
        <v>37</v>
      </c>
      <c r="E364" s="46" t="s">
        <v>21</v>
      </c>
      <c r="F364" s="46">
        <v>8</v>
      </c>
      <c r="G364" s="1" t="s">
        <v>25</v>
      </c>
      <c r="H364" s="1">
        <v>1</v>
      </c>
      <c r="I364" s="18">
        <v>168.76</v>
      </c>
      <c r="J364" s="18">
        <v>51900</v>
      </c>
      <c r="K364" s="2">
        <v>0</v>
      </c>
      <c r="L364" s="2" t="s">
        <v>3</v>
      </c>
      <c r="M364" s="7" t="s">
        <v>0</v>
      </c>
      <c r="N364" s="7" t="s">
        <v>11</v>
      </c>
      <c r="O364" s="7" t="s">
        <v>169</v>
      </c>
      <c r="S364" s="7" t="s">
        <v>170</v>
      </c>
      <c r="V364" s="8">
        <v>12.5</v>
      </c>
      <c r="W364" s="8" t="s">
        <v>196</v>
      </c>
      <c r="X364" s="15">
        <v>44639</v>
      </c>
      <c r="Y364" s="15">
        <v>45031</v>
      </c>
      <c r="Z364" s="17" t="s">
        <v>201</v>
      </c>
      <c r="AA364" s="118">
        <v>5000</v>
      </c>
      <c r="AB364" s="7">
        <v>2</v>
      </c>
      <c r="AC364" s="7">
        <v>2</v>
      </c>
      <c r="AE364" s="50">
        <v>4000</v>
      </c>
      <c r="AF364" s="50"/>
      <c r="AL364" s="20"/>
      <c r="AM364" s="20"/>
      <c r="AN364" s="20"/>
      <c r="AO364" s="20"/>
      <c r="AP364" s="87"/>
      <c r="AQ364" s="20"/>
      <c r="AR364" s="20"/>
      <c r="AS364" s="20"/>
      <c r="AT364" s="20"/>
      <c r="AU364" s="20"/>
      <c r="AV364" s="20"/>
      <c r="AW364" s="7"/>
      <c r="BA364" s="20"/>
      <c r="BB364" s="20"/>
      <c r="BD364" s="7"/>
      <c r="CS364" s="9">
        <f t="shared" si="29"/>
        <v>0</v>
      </c>
      <c r="CT364" s="20">
        <f t="shared" si="30"/>
        <v>0</v>
      </c>
      <c r="CU364" s="20">
        <f t="shared" si="31"/>
        <v>0</v>
      </c>
      <c r="CV364" s="24">
        <f t="shared" si="32"/>
        <v>4000</v>
      </c>
    </row>
    <row r="365" spans="1:103" s="78" customFormat="1" x14ac:dyDescent="0.2">
      <c r="A365" s="7" t="s">
        <v>181</v>
      </c>
      <c r="B365" s="1">
        <v>29</v>
      </c>
      <c r="C365" s="2" t="s">
        <v>36</v>
      </c>
      <c r="D365" s="2" t="s">
        <v>37</v>
      </c>
      <c r="E365" s="1"/>
      <c r="F365" s="1"/>
      <c r="G365" s="1" t="s">
        <v>19</v>
      </c>
      <c r="H365" s="1">
        <v>1</v>
      </c>
      <c r="I365" s="6">
        <v>125.02</v>
      </c>
      <c r="J365" s="6">
        <v>55564</v>
      </c>
      <c r="K365" s="2">
        <v>0</v>
      </c>
      <c r="L365" s="2" t="s">
        <v>3</v>
      </c>
      <c r="M365" s="7" t="s">
        <v>0</v>
      </c>
      <c r="N365" s="7" t="s">
        <v>12</v>
      </c>
      <c r="O365" s="7" t="s">
        <v>182</v>
      </c>
      <c r="P365" s="7"/>
      <c r="Q365" s="28"/>
      <c r="R365" s="7"/>
      <c r="S365" s="7" t="s">
        <v>96</v>
      </c>
      <c r="T365" s="8"/>
      <c r="U365" s="8"/>
      <c r="V365" s="8">
        <v>120.63</v>
      </c>
      <c r="W365" s="8" t="s">
        <v>196</v>
      </c>
      <c r="X365" s="15">
        <v>44412</v>
      </c>
      <c r="Y365" s="15">
        <v>45204</v>
      </c>
      <c r="Z365" s="17" t="s">
        <v>201</v>
      </c>
      <c r="AA365" s="121">
        <v>48900</v>
      </c>
      <c r="AB365" s="7">
        <v>72</v>
      </c>
      <c r="AC365" s="7">
        <v>0</v>
      </c>
      <c r="AD365" s="15">
        <v>44412</v>
      </c>
      <c r="AE365" s="52">
        <v>6000</v>
      </c>
      <c r="AF365" s="52"/>
      <c r="AG365" s="7" t="s">
        <v>72</v>
      </c>
      <c r="AH365" s="15">
        <v>44418</v>
      </c>
      <c r="AI365" s="28" t="s">
        <v>12</v>
      </c>
      <c r="AJ365" s="7" t="s">
        <v>371</v>
      </c>
      <c r="AK365" s="7" t="s">
        <v>367</v>
      </c>
      <c r="AL365" s="9"/>
      <c r="AM365" s="110">
        <v>20500</v>
      </c>
      <c r="AN365" s="9" t="s">
        <v>369</v>
      </c>
      <c r="AO365" s="9"/>
      <c r="AP365" s="9"/>
      <c r="AQ365" s="9"/>
      <c r="AR365" s="9"/>
      <c r="AS365" s="9"/>
      <c r="AT365" s="9"/>
      <c r="AU365" s="9"/>
      <c r="AV365" s="9"/>
      <c r="AW365" s="15">
        <v>44413</v>
      </c>
      <c r="AX365" s="7">
        <v>6332</v>
      </c>
      <c r="AY365" s="9">
        <v>20500</v>
      </c>
      <c r="AZ365" s="7"/>
      <c r="BA365" s="9"/>
      <c r="BB365" s="9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9">
        <f t="shared" si="29"/>
        <v>0</v>
      </c>
      <c r="CT365" s="20">
        <f t="shared" si="30"/>
        <v>0</v>
      </c>
      <c r="CU365" s="20">
        <f t="shared" si="31"/>
        <v>0</v>
      </c>
      <c r="CV365" s="24">
        <f t="shared" si="32"/>
        <v>6000</v>
      </c>
      <c r="CW365" s="7"/>
      <c r="CX365" s="7"/>
      <c r="CY365" s="7"/>
    </row>
    <row r="366" spans="1:103" s="78" customFormat="1" x14ac:dyDescent="0.2">
      <c r="A366" s="7" t="s">
        <v>181</v>
      </c>
      <c r="B366" s="1">
        <v>29</v>
      </c>
      <c r="C366" s="2" t="s">
        <v>36</v>
      </c>
      <c r="D366" s="2" t="s">
        <v>37</v>
      </c>
      <c r="E366" s="1"/>
      <c r="F366" s="1"/>
      <c r="G366" s="1" t="s">
        <v>19</v>
      </c>
      <c r="H366" s="1">
        <v>1</v>
      </c>
      <c r="I366" s="6">
        <v>125.02</v>
      </c>
      <c r="J366" s="6">
        <v>55564</v>
      </c>
      <c r="K366" s="2">
        <v>0</v>
      </c>
      <c r="L366" s="2" t="s">
        <v>3</v>
      </c>
      <c r="M366" s="7" t="s">
        <v>0</v>
      </c>
      <c r="N366" s="7" t="s">
        <v>12</v>
      </c>
      <c r="O366" s="7" t="s">
        <v>182</v>
      </c>
      <c r="P366" s="7"/>
      <c r="Q366" s="28"/>
      <c r="R366" s="7"/>
      <c r="S366" s="7" t="s">
        <v>96</v>
      </c>
      <c r="T366" s="8"/>
      <c r="U366" s="8"/>
      <c r="V366" s="8">
        <v>120.63</v>
      </c>
      <c r="W366" s="8" t="s">
        <v>196</v>
      </c>
      <c r="X366" s="15">
        <v>44412</v>
      </c>
      <c r="Y366" s="15">
        <v>45204</v>
      </c>
      <c r="Z366" s="17" t="s">
        <v>201</v>
      </c>
      <c r="AA366" s="121">
        <v>48900</v>
      </c>
      <c r="AB366" s="7">
        <v>72</v>
      </c>
      <c r="AC366" s="7">
        <v>0</v>
      </c>
      <c r="AD366" s="15">
        <v>44958</v>
      </c>
      <c r="AE366" s="52">
        <v>5000</v>
      </c>
      <c r="AF366" s="52"/>
      <c r="AG366" s="7"/>
      <c r="AH366" s="15"/>
      <c r="AI366" s="28"/>
      <c r="AJ366" s="7"/>
      <c r="AK366" s="7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15"/>
      <c r="AX366" s="7"/>
      <c r="AY366" s="9"/>
      <c r="AZ366" s="7"/>
      <c r="BA366" s="9"/>
      <c r="BB366" s="9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9">
        <f t="shared" si="29"/>
        <v>0</v>
      </c>
      <c r="CT366" s="20">
        <f t="shared" si="30"/>
        <v>0</v>
      </c>
      <c r="CU366" s="20">
        <f t="shared" si="31"/>
        <v>0</v>
      </c>
      <c r="CV366" s="24">
        <f t="shared" si="32"/>
        <v>5000</v>
      </c>
      <c r="CW366" s="7"/>
      <c r="CX366" s="7"/>
      <c r="CY366" s="7"/>
    </row>
    <row r="367" spans="1:103" s="78" customFormat="1" x14ac:dyDescent="0.2">
      <c r="A367" s="7" t="s">
        <v>181</v>
      </c>
      <c r="B367" s="1">
        <v>29</v>
      </c>
      <c r="C367" s="2" t="s">
        <v>36</v>
      </c>
      <c r="D367" s="2" t="s">
        <v>37</v>
      </c>
      <c r="E367" s="1"/>
      <c r="F367" s="1"/>
      <c r="G367" s="1" t="s">
        <v>19</v>
      </c>
      <c r="H367" s="1">
        <v>1</v>
      </c>
      <c r="I367" s="6">
        <v>125.02</v>
      </c>
      <c r="J367" s="6">
        <v>55564</v>
      </c>
      <c r="K367" s="2">
        <v>0</v>
      </c>
      <c r="L367" s="2" t="s">
        <v>3</v>
      </c>
      <c r="M367" s="7" t="s">
        <v>0</v>
      </c>
      <c r="N367" s="7" t="s">
        <v>12</v>
      </c>
      <c r="O367" s="7" t="s">
        <v>182</v>
      </c>
      <c r="P367" s="7"/>
      <c r="Q367" s="28"/>
      <c r="R367" s="7"/>
      <c r="S367" s="7" t="s">
        <v>96</v>
      </c>
      <c r="T367" s="8"/>
      <c r="U367" s="8"/>
      <c r="V367" s="8">
        <v>120.63</v>
      </c>
      <c r="W367" s="8" t="s">
        <v>196</v>
      </c>
      <c r="X367" s="15">
        <v>44412</v>
      </c>
      <c r="Y367" s="15">
        <v>45204</v>
      </c>
      <c r="Z367" s="17" t="s">
        <v>201</v>
      </c>
      <c r="AA367" s="121">
        <v>48900</v>
      </c>
      <c r="AB367" s="7">
        <v>72</v>
      </c>
      <c r="AC367" s="7">
        <v>0</v>
      </c>
      <c r="AD367" s="15">
        <v>45198</v>
      </c>
      <c r="AE367" s="52">
        <v>5000</v>
      </c>
      <c r="AF367" s="52"/>
      <c r="AG367" s="7"/>
      <c r="AH367" s="15"/>
      <c r="AI367" s="28"/>
      <c r="AJ367" s="7"/>
      <c r="AK367" s="7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5"/>
      <c r="AX367" s="7"/>
      <c r="AY367" s="7"/>
      <c r="AZ367" s="7"/>
      <c r="BA367" s="9"/>
      <c r="BB367" s="9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9">
        <f t="shared" si="29"/>
        <v>0</v>
      </c>
      <c r="CT367" s="20">
        <f t="shared" si="30"/>
        <v>0</v>
      </c>
      <c r="CU367" s="20">
        <f t="shared" si="31"/>
        <v>0</v>
      </c>
      <c r="CV367" s="24">
        <f t="shared" si="32"/>
        <v>5000</v>
      </c>
      <c r="CW367" s="7"/>
      <c r="CX367" s="7"/>
      <c r="CY367" s="7"/>
    </row>
    <row r="368" spans="1:103" s="78" customFormat="1" x14ac:dyDescent="0.2">
      <c r="A368" s="7" t="s">
        <v>181</v>
      </c>
      <c r="B368" s="1">
        <v>29</v>
      </c>
      <c r="C368" s="2" t="s">
        <v>36</v>
      </c>
      <c r="D368" s="2" t="s">
        <v>37</v>
      </c>
      <c r="E368" s="1"/>
      <c r="F368" s="1"/>
      <c r="G368" s="1" t="s">
        <v>19</v>
      </c>
      <c r="H368" s="1">
        <v>1</v>
      </c>
      <c r="I368" s="6">
        <v>125.02</v>
      </c>
      <c r="J368" s="6">
        <v>55564</v>
      </c>
      <c r="K368" s="2">
        <v>0</v>
      </c>
      <c r="L368" s="2" t="s">
        <v>3</v>
      </c>
      <c r="M368" s="7" t="s">
        <v>0</v>
      </c>
      <c r="N368" s="7" t="s">
        <v>12</v>
      </c>
      <c r="O368" s="7" t="s">
        <v>182</v>
      </c>
      <c r="P368" s="7"/>
      <c r="Q368" s="28"/>
      <c r="R368" s="7"/>
      <c r="S368" s="7" t="s">
        <v>96</v>
      </c>
      <c r="T368" s="8"/>
      <c r="U368" s="8"/>
      <c r="V368" s="8">
        <v>120.63</v>
      </c>
      <c r="W368" s="8" t="s">
        <v>196</v>
      </c>
      <c r="X368" s="15">
        <v>44412</v>
      </c>
      <c r="Y368" s="15">
        <v>45204</v>
      </c>
      <c r="Z368" s="17" t="s">
        <v>201</v>
      </c>
      <c r="AA368" s="121">
        <v>48900</v>
      </c>
      <c r="AB368" s="7">
        <v>72</v>
      </c>
      <c r="AC368" s="7">
        <v>1</v>
      </c>
      <c r="AD368" s="15">
        <v>45204</v>
      </c>
      <c r="AE368" s="52">
        <v>456.6</v>
      </c>
      <c r="AF368" s="52"/>
      <c r="AG368" s="7"/>
      <c r="AH368" s="15"/>
      <c r="AI368" s="28"/>
      <c r="AJ368" s="7"/>
      <c r="AK368" s="7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7"/>
      <c r="AX368" s="7"/>
      <c r="AY368" s="7"/>
      <c r="AZ368" s="7"/>
      <c r="BA368" s="9"/>
      <c r="BB368" s="9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9">
        <f t="shared" si="29"/>
        <v>0</v>
      </c>
      <c r="CT368" s="20">
        <f t="shared" si="30"/>
        <v>0</v>
      </c>
      <c r="CU368" s="20">
        <f t="shared" si="31"/>
        <v>0</v>
      </c>
      <c r="CV368" s="24">
        <f t="shared" si="32"/>
        <v>456.6</v>
      </c>
      <c r="CW368" s="7"/>
      <c r="CX368" s="7"/>
      <c r="CY368" s="7"/>
    </row>
    <row r="369" spans="1:103" s="78" customFormat="1" x14ac:dyDescent="0.2">
      <c r="A369" s="7" t="s">
        <v>181</v>
      </c>
      <c r="B369" s="1">
        <v>29</v>
      </c>
      <c r="C369" s="2" t="s">
        <v>36</v>
      </c>
      <c r="D369" s="2" t="s">
        <v>37</v>
      </c>
      <c r="E369" s="1"/>
      <c r="F369" s="1"/>
      <c r="G369" s="1" t="s">
        <v>19</v>
      </c>
      <c r="H369" s="1">
        <v>1</v>
      </c>
      <c r="I369" s="6">
        <v>125.02</v>
      </c>
      <c r="J369" s="6">
        <v>55564</v>
      </c>
      <c r="K369" s="2">
        <v>0</v>
      </c>
      <c r="L369" s="2" t="s">
        <v>3</v>
      </c>
      <c r="M369" s="7" t="s">
        <v>0</v>
      </c>
      <c r="N369" s="7" t="s">
        <v>12</v>
      </c>
      <c r="O369" s="7" t="s">
        <v>182</v>
      </c>
      <c r="P369" s="7"/>
      <c r="Q369" s="28"/>
      <c r="R369" s="7"/>
      <c r="S369" s="7" t="s">
        <v>96</v>
      </c>
      <c r="T369" s="8"/>
      <c r="U369" s="8"/>
      <c r="V369" s="8">
        <v>120.63</v>
      </c>
      <c r="W369" s="8" t="s">
        <v>196</v>
      </c>
      <c r="X369" s="15">
        <v>44412</v>
      </c>
      <c r="Y369" s="15">
        <v>45204</v>
      </c>
      <c r="Z369" s="17" t="s">
        <v>201</v>
      </c>
      <c r="AA369" s="121">
        <v>48900</v>
      </c>
      <c r="AB369" s="7">
        <v>72</v>
      </c>
      <c r="AC369" s="7">
        <v>2</v>
      </c>
      <c r="AD369" s="15">
        <v>45235</v>
      </c>
      <c r="AE369" s="52">
        <v>456.6</v>
      </c>
      <c r="AF369" s="52"/>
      <c r="AG369" s="7"/>
      <c r="AH369" s="15"/>
      <c r="AI369" s="7"/>
      <c r="AJ369" s="7"/>
      <c r="AK369" s="7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7"/>
      <c r="AX369" s="7"/>
      <c r="AY369" s="7"/>
      <c r="AZ369" s="7"/>
      <c r="BA369" s="9"/>
      <c r="BB369" s="9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9">
        <f t="shared" si="29"/>
        <v>0</v>
      </c>
      <c r="CT369" s="20">
        <f t="shared" si="30"/>
        <v>0</v>
      </c>
      <c r="CU369" s="20">
        <f t="shared" si="31"/>
        <v>0</v>
      </c>
      <c r="CV369" s="24">
        <f t="shared" si="32"/>
        <v>456.6</v>
      </c>
      <c r="CW369" s="7"/>
      <c r="CX369" s="7"/>
      <c r="CY369" s="7"/>
    </row>
    <row r="370" spans="1:103" s="78" customFormat="1" x14ac:dyDescent="0.2">
      <c r="A370" s="7" t="s">
        <v>181</v>
      </c>
      <c r="B370" s="1">
        <v>29</v>
      </c>
      <c r="C370" s="2" t="s">
        <v>36</v>
      </c>
      <c r="D370" s="2" t="s">
        <v>37</v>
      </c>
      <c r="E370" s="1"/>
      <c r="F370" s="1"/>
      <c r="G370" s="1" t="s">
        <v>19</v>
      </c>
      <c r="H370" s="1">
        <v>1</v>
      </c>
      <c r="I370" s="6">
        <v>125.02</v>
      </c>
      <c r="J370" s="6">
        <v>55564</v>
      </c>
      <c r="K370" s="2">
        <v>0</v>
      </c>
      <c r="L370" s="2" t="s">
        <v>3</v>
      </c>
      <c r="M370" s="7" t="s">
        <v>0</v>
      </c>
      <c r="N370" s="7" t="s">
        <v>12</v>
      </c>
      <c r="O370" s="7" t="s">
        <v>182</v>
      </c>
      <c r="P370" s="7"/>
      <c r="Q370" s="28"/>
      <c r="R370" s="7"/>
      <c r="S370" s="7" t="s">
        <v>96</v>
      </c>
      <c r="T370" s="8"/>
      <c r="U370" s="8"/>
      <c r="V370" s="8">
        <v>120.63</v>
      </c>
      <c r="W370" s="8" t="s">
        <v>196</v>
      </c>
      <c r="X370" s="15">
        <v>44412</v>
      </c>
      <c r="Y370" s="15">
        <v>45204</v>
      </c>
      <c r="Z370" s="17" t="s">
        <v>201</v>
      </c>
      <c r="AA370" s="121">
        <v>48900</v>
      </c>
      <c r="AB370" s="7">
        <v>72</v>
      </c>
      <c r="AC370" s="7">
        <v>3</v>
      </c>
      <c r="AD370" s="15">
        <v>45265</v>
      </c>
      <c r="AE370" s="52">
        <v>456.6</v>
      </c>
      <c r="AF370" s="52"/>
      <c r="AG370" s="7"/>
      <c r="AH370" s="7"/>
      <c r="AI370" s="7"/>
      <c r="AJ370" s="7"/>
      <c r="AK370" s="7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7"/>
      <c r="AX370" s="7"/>
      <c r="AY370" s="7"/>
      <c r="AZ370" s="7"/>
      <c r="BA370" s="9"/>
      <c r="BB370" s="9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9">
        <f t="shared" si="29"/>
        <v>0</v>
      </c>
      <c r="CT370" s="20">
        <f t="shared" si="30"/>
        <v>0</v>
      </c>
      <c r="CU370" s="20">
        <f t="shared" si="31"/>
        <v>0</v>
      </c>
      <c r="CV370" s="24">
        <f t="shared" si="32"/>
        <v>456.6</v>
      </c>
      <c r="CW370" s="7"/>
      <c r="CX370" s="7"/>
      <c r="CY370" s="7"/>
    </row>
    <row r="371" spans="1:103" x14ac:dyDescent="0.2">
      <c r="A371" s="7" t="s">
        <v>181</v>
      </c>
      <c r="B371" s="1">
        <v>29</v>
      </c>
      <c r="C371" s="2" t="s">
        <v>36</v>
      </c>
      <c r="D371" s="2" t="s">
        <v>37</v>
      </c>
      <c r="E371" s="1"/>
      <c r="F371" s="1"/>
      <c r="G371" s="1" t="s">
        <v>19</v>
      </c>
      <c r="H371" s="1">
        <v>1</v>
      </c>
      <c r="I371" s="6">
        <v>125.02</v>
      </c>
      <c r="J371" s="6">
        <v>55564</v>
      </c>
      <c r="K371" s="2">
        <v>0</v>
      </c>
      <c r="L371" s="2" t="s">
        <v>3</v>
      </c>
      <c r="M371" s="7" t="s">
        <v>0</v>
      </c>
      <c r="N371" s="7" t="s">
        <v>12</v>
      </c>
      <c r="O371" s="7" t="s">
        <v>182</v>
      </c>
      <c r="S371" s="7" t="s">
        <v>96</v>
      </c>
      <c r="V371" s="8">
        <v>120.63</v>
      </c>
      <c r="W371" s="8" t="s">
        <v>196</v>
      </c>
      <c r="X371" s="15">
        <v>44412</v>
      </c>
      <c r="Y371" s="15">
        <v>45204</v>
      </c>
      <c r="Z371" s="17" t="s">
        <v>201</v>
      </c>
      <c r="AA371" s="121">
        <v>48900</v>
      </c>
      <c r="AB371" s="7">
        <v>72</v>
      </c>
      <c r="AC371" s="7">
        <v>4</v>
      </c>
      <c r="AD371" s="15">
        <v>45296</v>
      </c>
      <c r="AE371" s="52">
        <v>456.6</v>
      </c>
      <c r="AF371" s="52"/>
      <c r="AP371" s="9"/>
      <c r="AQ371" s="9"/>
      <c r="AR371" s="9"/>
      <c r="AW371" s="7"/>
      <c r="BD371" s="7"/>
      <c r="CS371" s="9">
        <f t="shared" si="29"/>
        <v>0</v>
      </c>
      <c r="CT371" s="20">
        <f t="shared" si="30"/>
        <v>0</v>
      </c>
      <c r="CU371" s="20">
        <f t="shared" si="31"/>
        <v>0</v>
      </c>
      <c r="CV371" s="24">
        <f t="shared" si="32"/>
        <v>456.6</v>
      </c>
    </row>
    <row r="372" spans="1:103" x14ac:dyDescent="0.2">
      <c r="A372" s="7" t="s">
        <v>181</v>
      </c>
      <c r="B372" s="1">
        <v>29</v>
      </c>
      <c r="C372" s="2" t="s">
        <v>36</v>
      </c>
      <c r="D372" s="2" t="s">
        <v>37</v>
      </c>
      <c r="E372" s="1"/>
      <c r="F372" s="1"/>
      <c r="G372" s="1" t="s">
        <v>19</v>
      </c>
      <c r="H372" s="1">
        <v>1</v>
      </c>
      <c r="I372" s="6">
        <v>125.02</v>
      </c>
      <c r="J372" s="6">
        <v>55564</v>
      </c>
      <c r="K372" s="2">
        <v>0</v>
      </c>
      <c r="L372" s="2" t="s">
        <v>3</v>
      </c>
      <c r="M372" s="7" t="s">
        <v>0</v>
      </c>
      <c r="N372" s="7" t="s">
        <v>12</v>
      </c>
      <c r="O372" s="7" t="s">
        <v>182</v>
      </c>
      <c r="S372" s="7" t="s">
        <v>96</v>
      </c>
      <c r="V372" s="8">
        <v>120.63</v>
      </c>
      <c r="W372" s="8" t="s">
        <v>196</v>
      </c>
      <c r="X372" s="15">
        <v>44412</v>
      </c>
      <c r="Y372" s="15">
        <v>45204</v>
      </c>
      <c r="Z372" s="17" t="s">
        <v>201</v>
      </c>
      <c r="AA372" s="121">
        <v>48900</v>
      </c>
      <c r="AB372" s="7">
        <v>72</v>
      </c>
      <c r="AC372" s="7">
        <v>5</v>
      </c>
      <c r="AD372" s="15">
        <v>45327</v>
      </c>
      <c r="AE372" s="52">
        <v>456.6</v>
      </c>
      <c r="AF372" s="52"/>
      <c r="AP372" s="9"/>
      <c r="AQ372" s="9"/>
      <c r="AR372" s="9"/>
      <c r="AW372" s="7"/>
      <c r="BD372" s="7"/>
      <c r="CS372" s="9">
        <f t="shared" si="29"/>
        <v>0</v>
      </c>
      <c r="CT372" s="20">
        <f t="shared" si="30"/>
        <v>0</v>
      </c>
      <c r="CU372" s="20">
        <f t="shared" si="31"/>
        <v>0</v>
      </c>
      <c r="CV372" s="24">
        <f t="shared" si="32"/>
        <v>456.6</v>
      </c>
    </row>
    <row r="373" spans="1:103" x14ac:dyDescent="0.2">
      <c r="A373" s="7" t="s">
        <v>181</v>
      </c>
      <c r="B373" s="1">
        <v>29</v>
      </c>
      <c r="C373" s="2" t="s">
        <v>36</v>
      </c>
      <c r="D373" s="2" t="s">
        <v>37</v>
      </c>
      <c r="E373" s="1"/>
      <c r="F373" s="1"/>
      <c r="G373" s="1" t="s">
        <v>19</v>
      </c>
      <c r="H373" s="1">
        <v>1</v>
      </c>
      <c r="I373" s="6">
        <v>125.02</v>
      </c>
      <c r="J373" s="6">
        <v>55564</v>
      </c>
      <c r="K373" s="2">
        <v>0</v>
      </c>
      <c r="L373" s="2" t="s">
        <v>3</v>
      </c>
      <c r="M373" s="7" t="s">
        <v>0</v>
      </c>
      <c r="N373" s="7" t="s">
        <v>12</v>
      </c>
      <c r="O373" s="7" t="s">
        <v>182</v>
      </c>
      <c r="S373" s="7" t="s">
        <v>96</v>
      </c>
      <c r="V373" s="8">
        <v>120.63</v>
      </c>
      <c r="W373" s="8" t="s">
        <v>196</v>
      </c>
      <c r="X373" s="15">
        <v>44412</v>
      </c>
      <c r="Y373" s="15">
        <v>45204</v>
      </c>
      <c r="Z373" s="17" t="s">
        <v>201</v>
      </c>
      <c r="AA373" s="121">
        <v>48900</v>
      </c>
      <c r="AB373" s="7">
        <v>72</v>
      </c>
      <c r="AC373" s="7">
        <v>6</v>
      </c>
      <c r="AD373" s="15">
        <v>45356</v>
      </c>
      <c r="AE373" s="52">
        <v>456.6</v>
      </c>
      <c r="AF373" s="52"/>
      <c r="AP373" s="9"/>
      <c r="AQ373" s="9"/>
      <c r="AR373" s="9"/>
      <c r="AW373" s="7"/>
      <c r="BD373" s="7"/>
      <c r="CS373" s="9">
        <f t="shared" si="29"/>
        <v>0</v>
      </c>
      <c r="CT373" s="20">
        <f t="shared" si="30"/>
        <v>0</v>
      </c>
      <c r="CU373" s="20">
        <f t="shared" si="31"/>
        <v>0</v>
      </c>
      <c r="CV373" s="24">
        <f t="shared" si="32"/>
        <v>456.6</v>
      </c>
    </row>
    <row r="374" spans="1:103" x14ac:dyDescent="0.2">
      <c r="A374" s="7" t="s">
        <v>181</v>
      </c>
      <c r="B374" s="1">
        <v>29</v>
      </c>
      <c r="C374" s="2" t="s">
        <v>36</v>
      </c>
      <c r="D374" s="2" t="s">
        <v>37</v>
      </c>
      <c r="E374" s="1"/>
      <c r="F374" s="1"/>
      <c r="G374" s="1" t="s">
        <v>19</v>
      </c>
      <c r="H374" s="1">
        <v>1</v>
      </c>
      <c r="I374" s="6">
        <v>125.02</v>
      </c>
      <c r="J374" s="6">
        <v>55564</v>
      </c>
      <c r="K374" s="2">
        <v>0</v>
      </c>
      <c r="L374" s="2" t="s">
        <v>3</v>
      </c>
      <c r="M374" s="7" t="s">
        <v>0</v>
      </c>
      <c r="N374" s="7" t="s">
        <v>12</v>
      </c>
      <c r="O374" s="7" t="s">
        <v>182</v>
      </c>
      <c r="S374" s="7" t="s">
        <v>96</v>
      </c>
      <c r="V374" s="8">
        <v>120.63</v>
      </c>
      <c r="W374" s="8" t="s">
        <v>196</v>
      </c>
      <c r="X374" s="15">
        <v>44412</v>
      </c>
      <c r="Y374" s="15">
        <v>45204</v>
      </c>
      <c r="Z374" s="17" t="s">
        <v>201</v>
      </c>
      <c r="AA374" s="121">
        <v>48900</v>
      </c>
      <c r="AB374" s="7">
        <v>72</v>
      </c>
      <c r="AC374" s="7">
        <v>7</v>
      </c>
      <c r="AD374" s="15">
        <v>45387</v>
      </c>
      <c r="AE374" s="52">
        <v>456.6</v>
      </c>
      <c r="AF374" s="52"/>
      <c r="AP374" s="9"/>
      <c r="AQ374" s="9"/>
      <c r="AR374" s="9"/>
      <c r="AW374" s="7"/>
      <c r="BD374" s="7"/>
      <c r="CS374" s="9">
        <f t="shared" si="29"/>
        <v>0</v>
      </c>
      <c r="CT374" s="20">
        <f t="shared" si="30"/>
        <v>0</v>
      </c>
      <c r="CU374" s="20">
        <f t="shared" si="31"/>
        <v>0</v>
      </c>
      <c r="CV374" s="24">
        <f t="shared" si="32"/>
        <v>456.6</v>
      </c>
    </row>
    <row r="375" spans="1:103" x14ac:dyDescent="0.2">
      <c r="A375" s="7" t="s">
        <v>181</v>
      </c>
      <c r="B375" s="1">
        <v>29</v>
      </c>
      <c r="C375" s="2" t="s">
        <v>36</v>
      </c>
      <c r="D375" s="2" t="s">
        <v>37</v>
      </c>
      <c r="E375" s="1"/>
      <c r="F375" s="1"/>
      <c r="G375" s="1" t="s">
        <v>19</v>
      </c>
      <c r="H375" s="1">
        <v>1</v>
      </c>
      <c r="I375" s="6">
        <v>125.02</v>
      </c>
      <c r="J375" s="6">
        <v>55564</v>
      </c>
      <c r="K375" s="2">
        <v>0</v>
      </c>
      <c r="L375" s="2" t="s">
        <v>3</v>
      </c>
      <c r="M375" s="7" t="s">
        <v>0</v>
      </c>
      <c r="N375" s="7" t="s">
        <v>12</v>
      </c>
      <c r="O375" s="7" t="s">
        <v>182</v>
      </c>
      <c r="S375" s="7" t="s">
        <v>96</v>
      </c>
      <c r="V375" s="8">
        <v>120.63</v>
      </c>
      <c r="W375" s="8" t="s">
        <v>196</v>
      </c>
      <c r="X375" s="15">
        <v>44412</v>
      </c>
      <c r="Y375" s="15">
        <v>45204</v>
      </c>
      <c r="Z375" s="17" t="s">
        <v>201</v>
      </c>
      <c r="AA375" s="121">
        <v>48900</v>
      </c>
      <c r="AB375" s="7">
        <v>72</v>
      </c>
      <c r="AC375" s="7">
        <v>8</v>
      </c>
      <c r="AD375" s="15">
        <v>45417</v>
      </c>
      <c r="AE375" s="52">
        <v>456.6</v>
      </c>
      <c r="AF375" s="52"/>
      <c r="AP375" s="9"/>
      <c r="AQ375" s="9"/>
      <c r="AR375" s="9"/>
      <c r="AW375" s="7"/>
      <c r="BD375" s="7"/>
      <c r="CS375" s="9">
        <f t="shared" si="29"/>
        <v>0</v>
      </c>
      <c r="CT375" s="20">
        <f t="shared" si="30"/>
        <v>0</v>
      </c>
      <c r="CU375" s="20">
        <f t="shared" si="31"/>
        <v>0</v>
      </c>
      <c r="CV375" s="24">
        <f t="shared" si="32"/>
        <v>456.6</v>
      </c>
    </row>
    <row r="376" spans="1:103" x14ac:dyDescent="0.2">
      <c r="A376" s="7" t="s">
        <v>181</v>
      </c>
      <c r="B376" s="1">
        <v>29</v>
      </c>
      <c r="C376" s="2" t="s">
        <v>36</v>
      </c>
      <c r="D376" s="2" t="s">
        <v>37</v>
      </c>
      <c r="E376" s="1"/>
      <c r="F376" s="1"/>
      <c r="G376" s="1" t="s">
        <v>19</v>
      </c>
      <c r="H376" s="1">
        <v>1</v>
      </c>
      <c r="I376" s="6">
        <v>125.02</v>
      </c>
      <c r="J376" s="6">
        <v>55564</v>
      </c>
      <c r="K376" s="2">
        <v>0</v>
      </c>
      <c r="L376" s="2" t="s">
        <v>3</v>
      </c>
      <c r="M376" s="7" t="s">
        <v>0</v>
      </c>
      <c r="N376" s="7" t="s">
        <v>12</v>
      </c>
      <c r="O376" s="7" t="s">
        <v>182</v>
      </c>
      <c r="S376" s="7" t="s">
        <v>96</v>
      </c>
      <c r="V376" s="8">
        <v>120.63</v>
      </c>
      <c r="W376" s="8" t="s">
        <v>196</v>
      </c>
      <c r="X376" s="15">
        <v>44412</v>
      </c>
      <c r="Y376" s="15">
        <v>45204</v>
      </c>
      <c r="Z376" s="17" t="s">
        <v>201</v>
      </c>
      <c r="AA376" s="121">
        <v>48900</v>
      </c>
      <c r="AB376" s="7">
        <v>72</v>
      </c>
      <c r="AC376" s="7">
        <v>9</v>
      </c>
      <c r="AD376" s="15">
        <v>45448</v>
      </c>
      <c r="AE376" s="52">
        <v>456.6</v>
      </c>
      <c r="AF376" s="52"/>
      <c r="AP376" s="9"/>
      <c r="AQ376" s="9"/>
      <c r="AR376" s="9"/>
      <c r="AW376" s="7"/>
      <c r="BD376" s="7"/>
      <c r="CS376" s="9">
        <f t="shared" si="29"/>
        <v>0</v>
      </c>
      <c r="CT376" s="20">
        <f t="shared" si="30"/>
        <v>0</v>
      </c>
      <c r="CU376" s="20">
        <f t="shared" si="31"/>
        <v>0</v>
      </c>
      <c r="CV376" s="24">
        <f t="shared" si="32"/>
        <v>456.6</v>
      </c>
    </row>
    <row r="377" spans="1:103" x14ac:dyDescent="0.2">
      <c r="A377" s="7" t="s">
        <v>181</v>
      </c>
      <c r="B377" s="1">
        <v>29</v>
      </c>
      <c r="C377" s="2" t="s">
        <v>36</v>
      </c>
      <c r="D377" s="2" t="s">
        <v>37</v>
      </c>
      <c r="E377" s="1"/>
      <c r="F377" s="1"/>
      <c r="G377" s="1" t="s">
        <v>19</v>
      </c>
      <c r="H377" s="1">
        <v>1</v>
      </c>
      <c r="I377" s="6">
        <v>125.02</v>
      </c>
      <c r="J377" s="6">
        <v>55564</v>
      </c>
      <c r="K377" s="2">
        <v>0</v>
      </c>
      <c r="L377" s="2" t="s">
        <v>3</v>
      </c>
      <c r="M377" s="7" t="s">
        <v>0</v>
      </c>
      <c r="N377" s="7" t="s">
        <v>12</v>
      </c>
      <c r="O377" s="7" t="s">
        <v>182</v>
      </c>
      <c r="S377" s="7" t="s">
        <v>96</v>
      </c>
      <c r="V377" s="8">
        <v>120.63</v>
      </c>
      <c r="W377" s="8" t="s">
        <v>196</v>
      </c>
      <c r="X377" s="15">
        <v>44412</v>
      </c>
      <c r="Y377" s="15">
        <v>45204</v>
      </c>
      <c r="Z377" s="17" t="s">
        <v>201</v>
      </c>
      <c r="AA377" s="121">
        <v>48900</v>
      </c>
      <c r="AB377" s="7">
        <v>72</v>
      </c>
      <c r="AC377" s="7">
        <v>10</v>
      </c>
      <c r="AD377" s="15">
        <v>45478</v>
      </c>
      <c r="AE377" s="52">
        <v>456.6</v>
      </c>
      <c r="AF377" s="52"/>
      <c r="AP377" s="9"/>
      <c r="AQ377" s="9"/>
      <c r="AR377" s="9"/>
      <c r="AW377" s="7"/>
      <c r="BD377" s="7"/>
      <c r="CS377" s="9">
        <f t="shared" si="29"/>
        <v>0</v>
      </c>
      <c r="CT377" s="20">
        <f t="shared" si="30"/>
        <v>0</v>
      </c>
      <c r="CU377" s="20">
        <f t="shared" si="31"/>
        <v>0</v>
      </c>
      <c r="CV377" s="24">
        <f t="shared" si="32"/>
        <v>456.6</v>
      </c>
    </row>
    <row r="378" spans="1:103" x14ac:dyDescent="0.2">
      <c r="A378" s="7" t="s">
        <v>181</v>
      </c>
      <c r="B378" s="1">
        <v>29</v>
      </c>
      <c r="C378" s="2" t="s">
        <v>36</v>
      </c>
      <c r="D378" s="2" t="s">
        <v>37</v>
      </c>
      <c r="E378" s="1"/>
      <c r="F378" s="1"/>
      <c r="G378" s="1" t="s">
        <v>19</v>
      </c>
      <c r="H378" s="1">
        <v>1</v>
      </c>
      <c r="I378" s="6">
        <v>125.02</v>
      </c>
      <c r="J378" s="6">
        <v>55564</v>
      </c>
      <c r="K378" s="2">
        <v>0</v>
      </c>
      <c r="L378" s="2" t="s">
        <v>3</v>
      </c>
      <c r="M378" s="7" t="s">
        <v>0</v>
      </c>
      <c r="N378" s="7" t="s">
        <v>12</v>
      </c>
      <c r="O378" s="7" t="s">
        <v>182</v>
      </c>
      <c r="S378" s="7" t="s">
        <v>96</v>
      </c>
      <c r="V378" s="8">
        <v>120.63</v>
      </c>
      <c r="W378" s="8" t="s">
        <v>196</v>
      </c>
      <c r="X378" s="15">
        <v>44412</v>
      </c>
      <c r="Y378" s="15">
        <v>45204</v>
      </c>
      <c r="Z378" s="17" t="s">
        <v>201</v>
      </c>
      <c r="AA378" s="121">
        <v>48900</v>
      </c>
      <c r="AB378" s="7">
        <v>72</v>
      </c>
      <c r="AC378" s="7">
        <v>11</v>
      </c>
      <c r="AD378" s="15">
        <v>45509</v>
      </c>
      <c r="AE378" s="52">
        <v>456.6</v>
      </c>
      <c r="AF378" s="52"/>
      <c r="AP378" s="9"/>
      <c r="AQ378" s="9"/>
      <c r="AR378" s="9"/>
      <c r="AW378" s="7"/>
      <c r="BD378" s="7"/>
      <c r="CS378" s="9">
        <f t="shared" si="29"/>
        <v>0</v>
      </c>
      <c r="CT378" s="20">
        <f t="shared" si="30"/>
        <v>0</v>
      </c>
      <c r="CU378" s="20">
        <f t="shared" si="31"/>
        <v>0</v>
      </c>
      <c r="CV378" s="24">
        <f t="shared" si="32"/>
        <v>456.6</v>
      </c>
    </row>
    <row r="379" spans="1:103" x14ac:dyDescent="0.2">
      <c r="A379" s="7" t="s">
        <v>181</v>
      </c>
      <c r="B379" s="1">
        <v>29</v>
      </c>
      <c r="C379" s="2" t="s">
        <v>36</v>
      </c>
      <c r="D379" s="2" t="s">
        <v>37</v>
      </c>
      <c r="E379" s="1"/>
      <c r="F379" s="1"/>
      <c r="G379" s="1" t="s">
        <v>19</v>
      </c>
      <c r="H379" s="1">
        <v>1</v>
      </c>
      <c r="I379" s="6">
        <v>125.02</v>
      </c>
      <c r="J379" s="6">
        <v>55564</v>
      </c>
      <c r="K379" s="2">
        <v>0</v>
      </c>
      <c r="L379" s="2" t="s">
        <v>3</v>
      </c>
      <c r="M379" s="7" t="s">
        <v>0</v>
      </c>
      <c r="N379" s="7" t="s">
        <v>12</v>
      </c>
      <c r="O379" s="7" t="s">
        <v>182</v>
      </c>
      <c r="S379" s="7" t="s">
        <v>96</v>
      </c>
      <c r="V379" s="8">
        <v>120.63</v>
      </c>
      <c r="W379" s="8" t="s">
        <v>196</v>
      </c>
      <c r="X379" s="15">
        <v>44412</v>
      </c>
      <c r="Y379" s="15">
        <v>45204</v>
      </c>
      <c r="Z379" s="17" t="s">
        <v>201</v>
      </c>
      <c r="AA379" s="121">
        <v>48900</v>
      </c>
      <c r="AB379" s="7">
        <v>72</v>
      </c>
      <c r="AC379" s="7">
        <v>12</v>
      </c>
      <c r="AD379" s="15">
        <v>45540</v>
      </c>
      <c r="AE379" s="52">
        <v>456.6</v>
      </c>
      <c r="AF379" s="52"/>
      <c r="AP379" s="9"/>
      <c r="AQ379" s="9"/>
      <c r="AR379" s="9"/>
      <c r="AW379" s="7"/>
      <c r="BD379" s="7"/>
      <c r="CS379" s="9">
        <f t="shared" si="29"/>
        <v>0</v>
      </c>
      <c r="CT379" s="20">
        <f t="shared" si="30"/>
        <v>0</v>
      </c>
      <c r="CU379" s="20">
        <f t="shared" si="31"/>
        <v>0</v>
      </c>
      <c r="CV379" s="24">
        <f t="shared" si="32"/>
        <v>456.6</v>
      </c>
    </row>
    <row r="380" spans="1:103" x14ac:dyDescent="0.2">
      <c r="A380" s="7" t="s">
        <v>181</v>
      </c>
      <c r="B380" s="1">
        <v>29</v>
      </c>
      <c r="C380" s="2" t="s">
        <v>36</v>
      </c>
      <c r="D380" s="2" t="s">
        <v>37</v>
      </c>
      <c r="E380" s="1"/>
      <c r="F380" s="1"/>
      <c r="G380" s="1" t="s">
        <v>19</v>
      </c>
      <c r="H380" s="1">
        <v>1</v>
      </c>
      <c r="I380" s="6">
        <v>125.02</v>
      </c>
      <c r="J380" s="6">
        <v>55564</v>
      </c>
      <c r="K380" s="2">
        <v>0</v>
      </c>
      <c r="L380" s="2" t="s">
        <v>3</v>
      </c>
      <c r="M380" s="7" t="s">
        <v>0</v>
      </c>
      <c r="N380" s="7" t="s">
        <v>12</v>
      </c>
      <c r="O380" s="7" t="s">
        <v>182</v>
      </c>
      <c r="S380" s="7" t="s">
        <v>96</v>
      </c>
      <c r="V380" s="8">
        <v>120.63</v>
      </c>
      <c r="W380" s="8" t="s">
        <v>196</v>
      </c>
      <c r="X380" s="15">
        <v>44412</v>
      </c>
      <c r="Y380" s="15">
        <v>45204</v>
      </c>
      <c r="Z380" s="17" t="s">
        <v>201</v>
      </c>
      <c r="AA380" s="121">
        <v>48900</v>
      </c>
      <c r="AB380" s="7">
        <v>72</v>
      </c>
      <c r="AC380" s="7">
        <v>13</v>
      </c>
      <c r="AD380" s="15">
        <v>45570</v>
      </c>
      <c r="AE380" s="52">
        <v>456.6</v>
      </c>
      <c r="AF380" s="52"/>
      <c r="AP380" s="9"/>
      <c r="AQ380" s="9"/>
      <c r="AR380" s="9"/>
      <c r="AW380" s="7"/>
      <c r="BD380" s="7"/>
      <c r="CS380" s="9">
        <f t="shared" si="29"/>
        <v>0</v>
      </c>
      <c r="CT380" s="20">
        <f t="shared" si="30"/>
        <v>0</v>
      </c>
      <c r="CU380" s="20">
        <f t="shared" si="31"/>
        <v>0</v>
      </c>
      <c r="CV380" s="24">
        <f t="shared" si="32"/>
        <v>456.6</v>
      </c>
    </row>
    <row r="381" spans="1:103" x14ac:dyDescent="0.2">
      <c r="A381" s="7" t="s">
        <v>181</v>
      </c>
      <c r="B381" s="1">
        <v>29</v>
      </c>
      <c r="C381" s="2" t="s">
        <v>36</v>
      </c>
      <c r="D381" s="2" t="s">
        <v>37</v>
      </c>
      <c r="E381" s="1"/>
      <c r="F381" s="1"/>
      <c r="G381" s="1" t="s">
        <v>19</v>
      </c>
      <c r="H381" s="1">
        <v>1</v>
      </c>
      <c r="I381" s="6">
        <v>125.02</v>
      </c>
      <c r="J381" s="6">
        <v>55564</v>
      </c>
      <c r="K381" s="2">
        <v>0</v>
      </c>
      <c r="L381" s="2" t="s">
        <v>3</v>
      </c>
      <c r="M381" s="7" t="s">
        <v>0</v>
      </c>
      <c r="N381" s="7" t="s">
        <v>12</v>
      </c>
      <c r="O381" s="7" t="s">
        <v>182</v>
      </c>
      <c r="S381" s="7" t="s">
        <v>96</v>
      </c>
      <c r="V381" s="8">
        <v>120.63</v>
      </c>
      <c r="W381" s="8" t="s">
        <v>196</v>
      </c>
      <c r="X381" s="15">
        <v>44412</v>
      </c>
      <c r="Y381" s="15">
        <v>45204</v>
      </c>
      <c r="Z381" s="17" t="s">
        <v>201</v>
      </c>
      <c r="AA381" s="121">
        <v>48900</v>
      </c>
      <c r="AB381" s="7">
        <v>72</v>
      </c>
      <c r="AC381" s="7">
        <v>14</v>
      </c>
      <c r="AD381" s="15">
        <v>45601</v>
      </c>
      <c r="AE381" s="52">
        <v>456.6</v>
      </c>
      <c r="AF381" s="52"/>
      <c r="AP381" s="9"/>
      <c r="AQ381" s="9"/>
      <c r="AR381" s="9"/>
      <c r="AW381" s="7"/>
      <c r="BD381" s="7"/>
      <c r="CS381" s="9">
        <f t="shared" si="29"/>
        <v>0</v>
      </c>
      <c r="CT381" s="20">
        <f t="shared" si="30"/>
        <v>0</v>
      </c>
      <c r="CU381" s="20">
        <f t="shared" si="31"/>
        <v>0</v>
      </c>
      <c r="CV381" s="24">
        <f t="shared" si="32"/>
        <v>456.6</v>
      </c>
    </row>
    <row r="382" spans="1:103" x14ac:dyDescent="0.2">
      <c r="A382" s="7" t="s">
        <v>181</v>
      </c>
      <c r="B382" s="1">
        <v>29</v>
      </c>
      <c r="C382" s="2" t="s">
        <v>36</v>
      </c>
      <c r="D382" s="2" t="s">
        <v>37</v>
      </c>
      <c r="E382" s="1"/>
      <c r="F382" s="1"/>
      <c r="G382" s="1" t="s">
        <v>19</v>
      </c>
      <c r="H382" s="1">
        <v>1</v>
      </c>
      <c r="I382" s="6">
        <v>125.02</v>
      </c>
      <c r="J382" s="6">
        <v>55564</v>
      </c>
      <c r="K382" s="2">
        <v>0</v>
      </c>
      <c r="L382" s="2" t="s">
        <v>3</v>
      </c>
      <c r="M382" s="7" t="s">
        <v>0</v>
      </c>
      <c r="N382" s="7" t="s">
        <v>12</v>
      </c>
      <c r="O382" s="7" t="s">
        <v>182</v>
      </c>
      <c r="S382" s="7" t="s">
        <v>96</v>
      </c>
      <c r="V382" s="8">
        <v>120.63</v>
      </c>
      <c r="W382" s="8" t="s">
        <v>196</v>
      </c>
      <c r="X382" s="15">
        <v>44412</v>
      </c>
      <c r="Y382" s="15">
        <v>45204</v>
      </c>
      <c r="Z382" s="17" t="s">
        <v>201</v>
      </c>
      <c r="AA382" s="121">
        <v>48900</v>
      </c>
      <c r="AB382" s="7">
        <v>72</v>
      </c>
      <c r="AC382" s="7">
        <v>15</v>
      </c>
      <c r="AD382" s="15">
        <v>45631</v>
      </c>
      <c r="AE382" s="52">
        <v>456.6</v>
      </c>
      <c r="AF382" s="52"/>
      <c r="AP382" s="9"/>
      <c r="AQ382" s="9"/>
      <c r="AR382" s="9"/>
      <c r="AW382" s="7"/>
      <c r="BD382" s="7"/>
      <c r="CS382" s="9">
        <f t="shared" si="29"/>
        <v>0</v>
      </c>
      <c r="CT382" s="20">
        <f t="shared" si="30"/>
        <v>0</v>
      </c>
      <c r="CU382" s="20">
        <f t="shared" si="31"/>
        <v>0</v>
      </c>
      <c r="CV382" s="24">
        <f t="shared" si="32"/>
        <v>456.6</v>
      </c>
    </row>
    <row r="383" spans="1:103" x14ac:dyDescent="0.2">
      <c r="A383" s="7" t="s">
        <v>181</v>
      </c>
      <c r="B383" s="1">
        <v>29</v>
      </c>
      <c r="C383" s="2" t="s">
        <v>36</v>
      </c>
      <c r="D383" s="2" t="s">
        <v>37</v>
      </c>
      <c r="E383" s="1"/>
      <c r="F383" s="1"/>
      <c r="G383" s="1" t="s">
        <v>19</v>
      </c>
      <c r="H383" s="1">
        <v>1</v>
      </c>
      <c r="I383" s="6">
        <v>125.02</v>
      </c>
      <c r="J383" s="6">
        <v>55564</v>
      </c>
      <c r="K383" s="2">
        <v>0</v>
      </c>
      <c r="L383" s="2" t="s">
        <v>3</v>
      </c>
      <c r="M383" s="7" t="s">
        <v>0</v>
      </c>
      <c r="N383" s="7" t="s">
        <v>12</v>
      </c>
      <c r="O383" s="7" t="s">
        <v>182</v>
      </c>
      <c r="S383" s="7" t="s">
        <v>96</v>
      </c>
      <c r="V383" s="8">
        <v>120.63</v>
      </c>
      <c r="W383" s="8" t="s">
        <v>196</v>
      </c>
      <c r="X383" s="15">
        <v>44412</v>
      </c>
      <c r="Y383" s="15">
        <v>45204</v>
      </c>
      <c r="Z383" s="17" t="s">
        <v>201</v>
      </c>
      <c r="AA383" s="121">
        <v>48900</v>
      </c>
      <c r="AB383" s="7">
        <v>72</v>
      </c>
      <c r="AC383" s="7">
        <v>16</v>
      </c>
      <c r="AD383" s="15">
        <v>45662</v>
      </c>
      <c r="AE383" s="52">
        <v>456.6</v>
      </c>
      <c r="AF383" s="52"/>
      <c r="AP383" s="9"/>
      <c r="AQ383" s="9"/>
      <c r="AR383" s="9"/>
      <c r="AW383" s="7"/>
      <c r="BD383" s="7"/>
      <c r="CS383" s="9">
        <f t="shared" si="29"/>
        <v>0</v>
      </c>
      <c r="CT383" s="20">
        <f t="shared" si="30"/>
        <v>0</v>
      </c>
      <c r="CU383" s="20">
        <f t="shared" si="31"/>
        <v>0</v>
      </c>
      <c r="CV383" s="24">
        <f t="shared" si="32"/>
        <v>456.6</v>
      </c>
    </row>
    <row r="384" spans="1:103" x14ac:dyDescent="0.2">
      <c r="A384" s="7" t="s">
        <v>181</v>
      </c>
      <c r="B384" s="1">
        <v>29</v>
      </c>
      <c r="C384" s="2" t="s">
        <v>36</v>
      </c>
      <c r="D384" s="2" t="s">
        <v>37</v>
      </c>
      <c r="E384" s="1"/>
      <c r="F384" s="1"/>
      <c r="G384" s="1" t="s">
        <v>19</v>
      </c>
      <c r="H384" s="1">
        <v>1</v>
      </c>
      <c r="I384" s="6">
        <v>125.02</v>
      </c>
      <c r="J384" s="6">
        <v>55564</v>
      </c>
      <c r="K384" s="2">
        <v>0</v>
      </c>
      <c r="L384" s="2" t="s">
        <v>3</v>
      </c>
      <c r="M384" s="7" t="s">
        <v>0</v>
      </c>
      <c r="N384" s="7" t="s">
        <v>12</v>
      </c>
      <c r="O384" s="7" t="s">
        <v>182</v>
      </c>
      <c r="S384" s="7" t="s">
        <v>96</v>
      </c>
      <c r="V384" s="8">
        <v>120.63</v>
      </c>
      <c r="W384" s="8" t="s">
        <v>196</v>
      </c>
      <c r="X384" s="15">
        <v>44412</v>
      </c>
      <c r="Y384" s="15">
        <v>45204</v>
      </c>
      <c r="Z384" s="17" t="s">
        <v>201</v>
      </c>
      <c r="AA384" s="121">
        <v>48900</v>
      </c>
      <c r="AB384" s="7">
        <v>72</v>
      </c>
      <c r="AC384" s="7">
        <v>17</v>
      </c>
      <c r="AD384" s="15">
        <v>45693</v>
      </c>
      <c r="AE384" s="52">
        <v>456.6</v>
      </c>
      <c r="AF384" s="52"/>
      <c r="AP384" s="9"/>
      <c r="AQ384" s="9"/>
      <c r="AR384" s="9"/>
      <c r="AW384" s="7"/>
      <c r="BD384" s="7"/>
      <c r="CS384" s="9">
        <f t="shared" si="29"/>
        <v>0</v>
      </c>
      <c r="CT384" s="20">
        <f t="shared" si="30"/>
        <v>0</v>
      </c>
      <c r="CU384" s="20">
        <f t="shared" si="31"/>
        <v>0</v>
      </c>
      <c r="CV384" s="24">
        <f t="shared" si="32"/>
        <v>456.6</v>
      </c>
    </row>
    <row r="385" spans="1:100" x14ac:dyDescent="0.2">
      <c r="A385" s="7" t="s">
        <v>181</v>
      </c>
      <c r="B385" s="1">
        <v>29</v>
      </c>
      <c r="C385" s="2" t="s">
        <v>36</v>
      </c>
      <c r="D385" s="2" t="s">
        <v>37</v>
      </c>
      <c r="E385" s="1"/>
      <c r="F385" s="1"/>
      <c r="G385" s="1" t="s">
        <v>19</v>
      </c>
      <c r="H385" s="1">
        <v>1</v>
      </c>
      <c r="I385" s="6">
        <v>125.02</v>
      </c>
      <c r="J385" s="6">
        <v>55564</v>
      </c>
      <c r="K385" s="2">
        <v>0</v>
      </c>
      <c r="L385" s="2" t="s">
        <v>3</v>
      </c>
      <c r="M385" s="7" t="s">
        <v>0</v>
      </c>
      <c r="N385" s="7" t="s">
        <v>12</v>
      </c>
      <c r="O385" s="7" t="s">
        <v>182</v>
      </c>
      <c r="S385" s="7" t="s">
        <v>96</v>
      </c>
      <c r="V385" s="8">
        <v>120.63</v>
      </c>
      <c r="W385" s="8" t="s">
        <v>196</v>
      </c>
      <c r="X385" s="15">
        <v>44412</v>
      </c>
      <c r="Y385" s="15">
        <v>45204</v>
      </c>
      <c r="Z385" s="17" t="s">
        <v>201</v>
      </c>
      <c r="AA385" s="121">
        <v>48900</v>
      </c>
      <c r="AB385" s="7">
        <v>72</v>
      </c>
      <c r="AC385" s="7">
        <v>18</v>
      </c>
      <c r="AD385" s="15">
        <v>45721</v>
      </c>
      <c r="AE385" s="52">
        <v>456.6</v>
      </c>
      <c r="AF385" s="52"/>
      <c r="AP385" s="9"/>
      <c r="AQ385" s="9"/>
      <c r="AR385" s="9"/>
      <c r="AW385" s="7"/>
      <c r="BD385" s="7"/>
      <c r="CS385" s="9">
        <f t="shared" si="29"/>
        <v>0</v>
      </c>
      <c r="CT385" s="20">
        <f t="shared" si="30"/>
        <v>0</v>
      </c>
      <c r="CU385" s="20">
        <f t="shared" si="31"/>
        <v>0</v>
      </c>
      <c r="CV385" s="24">
        <f t="shared" si="32"/>
        <v>456.6</v>
      </c>
    </row>
    <row r="386" spans="1:100" x14ac:dyDescent="0.2">
      <c r="A386" s="7" t="s">
        <v>181</v>
      </c>
      <c r="B386" s="1">
        <v>29</v>
      </c>
      <c r="C386" s="2" t="s">
        <v>36</v>
      </c>
      <c r="D386" s="2" t="s">
        <v>37</v>
      </c>
      <c r="E386" s="1"/>
      <c r="F386" s="1"/>
      <c r="G386" s="1" t="s">
        <v>19</v>
      </c>
      <c r="H386" s="1">
        <v>1</v>
      </c>
      <c r="I386" s="6">
        <v>125.02</v>
      </c>
      <c r="J386" s="6">
        <v>55564</v>
      </c>
      <c r="K386" s="2">
        <v>0</v>
      </c>
      <c r="L386" s="2" t="s">
        <v>3</v>
      </c>
      <c r="M386" s="7" t="s">
        <v>0</v>
      </c>
      <c r="N386" s="7" t="s">
        <v>12</v>
      </c>
      <c r="O386" s="7" t="s">
        <v>182</v>
      </c>
      <c r="S386" s="7" t="s">
        <v>96</v>
      </c>
      <c r="V386" s="8">
        <v>120.63</v>
      </c>
      <c r="W386" s="8" t="s">
        <v>196</v>
      </c>
      <c r="X386" s="15">
        <v>44412</v>
      </c>
      <c r="Y386" s="15">
        <v>45204</v>
      </c>
      <c r="Z386" s="17" t="s">
        <v>201</v>
      </c>
      <c r="AA386" s="121">
        <v>48900</v>
      </c>
      <c r="AB386" s="7">
        <v>72</v>
      </c>
      <c r="AC386" s="7">
        <v>19</v>
      </c>
      <c r="AD386" s="15">
        <v>45752</v>
      </c>
      <c r="AE386" s="52">
        <v>456.6</v>
      </c>
      <c r="AF386" s="52"/>
      <c r="AP386" s="9"/>
      <c r="AQ386" s="9"/>
      <c r="AR386" s="9"/>
      <c r="AW386" s="7"/>
      <c r="BD386" s="7"/>
      <c r="CS386" s="9">
        <f t="shared" si="29"/>
        <v>0</v>
      </c>
      <c r="CT386" s="20">
        <f t="shared" si="30"/>
        <v>0</v>
      </c>
      <c r="CU386" s="20">
        <f t="shared" si="31"/>
        <v>0</v>
      </c>
      <c r="CV386" s="24">
        <f t="shared" si="32"/>
        <v>456.6</v>
      </c>
    </row>
    <row r="387" spans="1:100" x14ac:dyDescent="0.2">
      <c r="A387" s="7" t="s">
        <v>181</v>
      </c>
      <c r="B387" s="1">
        <v>29</v>
      </c>
      <c r="C387" s="2" t="s">
        <v>36</v>
      </c>
      <c r="D387" s="2" t="s">
        <v>37</v>
      </c>
      <c r="E387" s="1"/>
      <c r="F387" s="1"/>
      <c r="G387" s="1" t="s">
        <v>19</v>
      </c>
      <c r="H387" s="1">
        <v>1</v>
      </c>
      <c r="I387" s="6">
        <v>125.02</v>
      </c>
      <c r="J387" s="6">
        <v>55564</v>
      </c>
      <c r="K387" s="2">
        <v>0</v>
      </c>
      <c r="L387" s="2" t="s">
        <v>3</v>
      </c>
      <c r="M387" s="7" t="s">
        <v>0</v>
      </c>
      <c r="N387" s="7" t="s">
        <v>12</v>
      </c>
      <c r="O387" s="7" t="s">
        <v>182</v>
      </c>
      <c r="S387" s="7" t="s">
        <v>96</v>
      </c>
      <c r="V387" s="8">
        <v>120.63</v>
      </c>
      <c r="W387" s="8" t="s">
        <v>196</v>
      </c>
      <c r="X387" s="15">
        <v>44412</v>
      </c>
      <c r="Y387" s="15">
        <v>45204</v>
      </c>
      <c r="Z387" s="17" t="s">
        <v>201</v>
      </c>
      <c r="AA387" s="121">
        <v>48900</v>
      </c>
      <c r="AB387" s="7">
        <v>72</v>
      </c>
      <c r="AC387" s="7">
        <v>20</v>
      </c>
      <c r="AD387" s="15">
        <v>45782</v>
      </c>
      <c r="AE387" s="52">
        <v>456.6</v>
      </c>
      <c r="AF387" s="52"/>
      <c r="AP387" s="9"/>
      <c r="AQ387" s="9"/>
      <c r="AR387" s="9"/>
      <c r="AW387" s="7"/>
      <c r="BD387" s="7"/>
      <c r="CS387" s="9">
        <f t="shared" si="29"/>
        <v>0</v>
      </c>
      <c r="CT387" s="20">
        <f t="shared" si="30"/>
        <v>0</v>
      </c>
      <c r="CU387" s="20">
        <f t="shared" si="31"/>
        <v>0</v>
      </c>
      <c r="CV387" s="24">
        <f t="shared" si="32"/>
        <v>456.6</v>
      </c>
    </row>
    <row r="388" spans="1:100" x14ac:dyDescent="0.2">
      <c r="A388" s="7" t="s">
        <v>181</v>
      </c>
      <c r="B388" s="1">
        <v>29</v>
      </c>
      <c r="C388" s="2" t="s">
        <v>36</v>
      </c>
      <c r="D388" s="2" t="s">
        <v>37</v>
      </c>
      <c r="E388" s="1"/>
      <c r="F388" s="1"/>
      <c r="G388" s="1" t="s">
        <v>19</v>
      </c>
      <c r="H388" s="1">
        <v>1</v>
      </c>
      <c r="I388" s="6">
        <v>125.02</v>
      </c>
      <c r="J388" s="6">
        <v>55564</v>
      </c>
      <c r="K388" s="2">
        <v>0</v>
      </c>
      <c r="L388" s="2" t="s">
        <v>3</v>
      </c>
      <c r="M388" s="7" t="s">
        <v>0</v>
      </c>
      <c r="N388" s="7" t="s">
        <v>12</v>
      </c>
      <c r="O388" s="7" t="s">
        <v>182</v>
      </c>
      <c r="S388" s="7" t="s">
        <v>96</v>
      </c>
      <c r="V388" s="8">
        <v>120.63</v>
      </c>
      <c r="W388" s="8" t="s">
        <v>196</v>
      </c>
      <c r="X388" s="15">
        <v>44412</v>
      </c>
      <c r="Y388" s="15">
        <v>45204</v>
      </c>
      <c r="Z388" s="17" t="s">
        <v>201</v>
      </c>
      <c r="AA388" s="121">
        <v>48900</v>
      </c>
      <c r="AB388" s="7">
        <v>72</v>
      </c>
      <c r="AC388" s="7">
        <v>21</v>
      </c>
      <c r="AD388" s="15">
        <v>45813</v>
      </c>
      <c r="AE388" s="52">
        <v>456.6</v>
      </c>
      <c r="AF388" s="52"/>
      <c r="AP388" s="9"/>
      <c r="AQ388" s="9"/>
      <c r="AR388" s="9"/>
      <c r="AW388" s="7"/>
      <c r="BD388" s="7"/>
      <c r="CS388" s="9">
        <f t="shared" si="29"/>
        <v>0</v>
      </c>
      <c r="CT388" s="20">
        <f t="shared" si="30"/>
        <v>0</v>
      </c>
      <c r="CU388" s="20">
        <f t="shared" si="31"/>
        <v>0</v>
      </c>
      <c r="CV388" s="24">
        <f t="shared" si="32"/>
        <v>456.6</v>
      </c>
    </row>
    <row r="389" spans="1:100" x14ac:dyDescent="0.2">
      <c r="A389" s="7" t="s">
        <v>181</v>
      </c>
      <c r="B389" s="1">
        <v>29</v>
      </c>
      <c r="C389" s="2" t="s">
        <v>36</v>
      </c>
      <c r="D389" s="2" t="s">
        <v>37</v>
      </c>
      <c r="E389" s="1"/>
      <c r="F389" s="1"/>
      <c r="G389" s="1" t="s">
        <v>19</v>
      </c>
      <c r="H389" s="1">
        <v>1</v>
      </c>
      <c r="I389" s="6">
        <v>125.02</v>
      </c>
      <c r="J389" s="6">
        <v>55564</v>
      </c>
      <c r="K389" s="2">
        <v>0</v>
      </c>
      <c r="L389" s="2" t="s">
        <v>3</v>
      </c>
      <c r="M389" s="7" t="s">
        <v>0</v>
      </c>
      <c r="N389" s="7" t="s">
        <v>12</v>
      </c>
      <c r="O389" s="7" t="s">
        <v>182</v>
      </c>
      <c r="S389" s="7" t="s">
        <v>96</v>
      </c>
      <c r="V389" s="8">
        <v>120.63</v>
      </c>
      <c r="W389" s="8" t="s">
        <v>196</v>
      </c>
      <c r="X389" s="15">
        <v>44412</v>
      </c>
      <c r="Y389" s="15">
        <v>45204</v>
      </c>
      <c r="Z389" s="17" t="s">
        <v>201</v>
      </c>
      <c r="AA389" s="121">
        <v>48900</v>
      </c>
      <c r="AB389" s="7">
        <v>72</v>
      </c>
      <c r="AC389" s="7">
        <v>22</v>
      </c>
      <c r="AD389" s="15">
        <v>45843</v>
      </c>
      <c r="AE389" s="52">
        <v>456.6</v>
      </c>
      <c r="AF389" s="52"/>
      <c r="AP389" s="9"/>
      <c r="AQ389" s="9"/>
      <c r="AR389" s="9"/>
      <c r="AW389" s="7"/>
      <c r="BD389" s="7"/>
      <c r="CS389" s="9">
        <f t="shared" si="29"/>
        <v>0</v>
      </c>
      <c r="CT389" s="20">
        <f t="shared" si="30"/>
        <v>0</v>
      </c>
      <c r="CU389" s="20">
        <f t="shared" si="31"/>
        <v>0</v>
      </c>
      <c r="CV389" s="24">
        <f t="shared" si="32"/>
        <v>456.6</v>
      </c>
    </row>
    <row r="390" spans="1:100" x14ac:dyDescent="0.2">
      <c r="A390" s="7" t="s">
        <v>181</v>
      </c>
      <c r="B390" s="1">
        <v>29</v>
      </c>
      <c r="C390" s="2" t="s">
        <v>36</v>
      </c>
      <c r="D390" s="2" t="s">
        <v>37</v>
      </c>
      <c r="E390" s="1"/>
      <c r="F390" s="1"/>
      <c r="G390" s="1" t="s">
        <v>19</v>
      </c>
      <c r="H390" s="1">
        <v>1</v>
      </c>
      <c r="I390" s="6">
        <v>125.02</v>
      </c>
      <c r="J390" s="6">
        <v>55564</v>
      </c>
      <c r="K390" s="2">
        <v>0</v>
      </c>
      <c r="L390" s="2" t="s">
        <v>3</v>
      </c>
      <c r="M390" s="7" t="s">
        <v>0</v>
      </c>
      <c r="N390" s="7" t="s">
        <v>12</v>
      </c>
      <c r="O390" s="7" t="s">
        <v>182</v>
      </c>
      <c r="S390" s="7" t="s">
        <v>96</v>
      </c>
      <c r="V390" s="8">
        <v>120.63</v>
      </c>
      <c r="W390" s="8" t="s">
        <v>196</v>
      </c>
      <c r="X390" s="15">
        <v>44412</v>
      </c>
      <c r="Y390" s="15">
        <v>45204</v>
      </c>
      <c r="Z390" s="17" t="s">
        <v>201</v>
      </c>
      <c r="AA390" s="121">
        <v>48900</v>
      </c>
      <c r="AB390" s="7">
        <v>72</v>
      </c>
      <c r="AC390" s="7">
        <v>23</v>
      </c>
      <c r="AD390" s="15">
        <v>45874</v>
      </c>
      <c r="AE390" s="52">
        <v>456.6</v>
      </c>
      <c r="AF390" s="52"/>
      <c r="AP390" s="9"/>
      <c r="AQ390" s="9"/>
      <c r="AR390" s="9"/>
      <c r="AW390" s="7"/>
      <c r="BD390" s="7"/>
      <c r="CS390" s="9">
        <f t="shared" si="29"/>
        <v>0</v>
      </c>
      <c r="CT390" s="20">
        <f t="shared" si="30"/>
        <v>0</v>
      </c>
      <c r="CU390" s="20">
        <f t="shared" si="31"/>
        <v>0</v>
      </c>
      <c r="CV390" s="24">
        <f t="shared" si="32"/>
        <v>456.6</v>
      </c>
    </row>
    <row r="391" spans="1:100" x14ac:dyDescent="0.2">
      <c r="A391" s="7" t="s">
        <v>181</v>
      </c>
      <c r="B391" s="1">
        <v>29</v>
      </c>
      <c r="C391" s="2" t="s">
        <v>36</v>
      </c>
      <c r="D391" s="2" t="s">
        <v>37</v>
      </c>
      <c r="E391" s="1"/>
      <c r="F391" s="1"/>
      <c r="G391" s="1" t="s">
        <v>19</v>
      </c>
      <c r="H391" s="1">
        <v>1</v>
      </c>
      <c r="I391" s="6">
        <v>125.02</v>
      </c>
      <c r="J391" s="6">
        <v>55564</v>
      </c>
      <c r="K391" s="2">
        <v>0</v>
      </c>
      <c r="L391" s="2" t="s">
        <v>3</v>
      </c>
      <c r="M391" s="7" t="s">
        <v>0</v>
      </c>
      <c r="N391" s="7" t="s">
        <v>12</v>
      </c>
      <c r="O391" s="7" t="s">
        <v>182</v>
      </c>
      <c r="S391" s="7" t="s">
        <v>96</v>
      </c>
      <c r="V391" s="8">
        <v>120.63</v>
      </c>
      <c r="W391" s="8" t="s">
        <v>196</v>
      </c>
      <c r="X391" s="15">
        <v>44412</v>
      </c>
      <c r="Y391" s="15">
        <v>45204</v>
      </c>
      <c r="Z391" s="17" t="s">
        <v>201</v>
      </c>
      <c r="AA391" s="121">
        <v>48900</v>
      </c>
      <c r="AB391" s="7">
        <v>72</v>
      </c>
      <c r="AC391" s="7">
        <v>24</v>
      </c>
      <c r="AD391" s="15">
        <v>45905</v>
      </c>
      <c r="AE391" s="52">
        <v>456.6</v>
      </c>
      <c r="AF391" s="52"/>
      <c r="AP391" s="9"/>
      <c r="AQ391" s="9"/>
      <c r="AR391" s="9"/>
      <c r="AW391" s="7"/>
      <c r="BD391" s="7"/>
      <c r="CS391" s="9">
        <f t="shared" si="29"/>
        <v>0</v>
      </c>
      <c r="CT391" s="20">
        <f t="shared" si="30"/>
        <v>0</v>
      </c>
      <c r="CU391" s="20">
        <f t="shared" si="31"/>
        <v>0</v>
      </c>
      <c r="CV391" s="24">
        <f t="shared" si="32"/>
        <v>456.6</v>
      </c>
    </row>
    <row r="392" spans="1:100" x14ac:dyDescent="0.2">
      <c r="A392" s="7" t="s">
        <v>181</v>
      </c>
      <c r="B392" s="1">
        <v>29</v>
      </c>
      <c r="C392" s="2" t="s">
        <v>36</v>
      </c>
      <c r="D392" s="2" t="s">
        <v>37</v>
      </c>
      <c r="E392" s="1"/>
      <c r="F392" s="1"/>
      <c r="G392" s="1" t="s">
        <v>19</v>
      </c>
      <c r="H392" s="1">
        <v>1</v>
      </c>
      <c r="I392" s="6">
        <v>125.02</v>
      </c>
      <c r="J392" s="6">
        <v>55564</v>
      </c>
      <c r="K392" s="2">
        <v>0</v>
      </c>
      <c r="L392" s="2" t="s">
        <v>3</v>
      </c>
      <c r="M392" s="7" t="s">
        <v>0</v>
      </c>
      <c r="N392" s="7" t="s">
        <v>12</v>
      </c>
      <c r="O392" s="7" t="s">
        <v>182</v>
      </c>
      <c r="S392" s="7" t="s">
        <v>96</v>
      </c>
      <c r="V392" s="8">
        <v>120.63</v>
      </c>
      <c r="W392" s="8" t="s">
        <v>196</v>
      </c>
      <c r="X392" s="15">
        <v>44412</v>
      </c>
      <c r="Y392" s="15">
        <v>45204</v>
      </c>
      <c r="Z392" s="17" t="s">
        <v>201</v>
      </c>
      <c r="AA392" s="121">
        <v>48900</v>
      </c>
      <c r="AB392" s="7">
        <v>72</v>
      </c>
      <c r="AC392" s="7">
        <v>25</v>
      </c>
      <c r="AD392" s="15">
        <v>45935</v>
      </c>
      <c r="AE392" s="52">
        <v>456.6</v>
      </c>
      <c r="AF392" s="52"/>
      <c r="AP392" s="9"/>
      <c r="AQ392" s="9"/>
      <c r="AR392" s="9"/>
      <c r="AW392" s="7"/>
      <c r="BD392" s="7"/>
      <c r="CS392" s="9">
        <f t="shared" si="29"/>
        <v>0</v>
      </c>
      <c r="CT392" s="20">
        <f t="shared" si="30"/>
        <v>0</v>
      </c>
      <c r="CU392" s="20">
        <f t="shared" si="31"/>
        <v>0</v>
      </c>
      <c r="CV392" s="24">
        <f t="shared" si="32"/>
        <v>456.6</v>
      </c>
    </row>
    <row r="393" spans="1:100" x14ac:dyDescent="0.2">
      <c r="A393" s="7" t="s">
        <v>181</v>
      </c>
      <c r="B393" s="1">
        <v>29</v>
      </c>
      <c r="C393" s="2" t="s">
        <v>36</v>
      </c>
      <c r="D393" s="2" t="s">
        <v>37</v>
      </c>
      <c r="E393" s="1"/>
      <c r="F393" s="1"/>
      <c r="G393" s="1" t="s">
        <v>19</v>
      </c>
      <c r="H393" s="1">
        <v>1</v>
      </c>
      <c r="I393" s="6">
        <v>125.02</v>
      </c>
      <c r="J393" s="6">
        <v>55564</v>
      </c>
      <c r="K393" s="2">
        <v>0</v>
      </c>
      <c r="L393" s="2" t="s">
        <v>3</v>
      </c>
      <c r="M393" s="7" t="s">
        <v>0</v>
      </c>
      <c r="N393" s="7" t="s">
        <v>12</v>
      </c>
      <c r="O393" s="7" t="s">
        <v>182</v>
      </c>
      <c r="S393" s="7" t="s">
        <v>96</v>
      </c>
      <c r="V393" s="8">
        <v>120.63</v>
      </c>
      <c r="W393" s="8" t="s">
        <v>196</v>
      </c>
      <c r="X393" s="15">
        <v>44412</v>
      </c>
      <c r="Y393" s="15">
        <v>45204</v>
      </c>
      <c r="Z393" s="17" t="s">
        <v>201</v>
      </c>
      <c r="AA393" s="121">
        <v>48900</v>
      </c>
      <c r="AB393" s="7">
        <v>72</v>
      </c>
      <c r="AC393" s="7">
        <v>26</v>
      </c>
      <c r="AD393" s="15">
        <v>45966</v>
      </c>
      <c r="AE393" s="52">
        <v>456.6</v>
      </c>
      <c r="AF393" s="52"/>
      <c r="AP393" s="9"/>
      <c r="AQ393" s="9"/>
      <c r="AR393" s="9"/>
      <c r="AW393" s="7"/>
      <c r="BD393" s="7"/>
      <c r="CS393" s="9">
        <f t="shared" si="29"/>
        <v>0</v>
      </c>
      <c r="CT393" s="20">
        <f t="shared" si="30"/>
        <v>0</v>
      </c>
      <c r="CU393" s="20">
        <f t="shared" si="31"/>
        <v>0</v>
      </c>
      <c r="CV393" s="24">
        <f t="shared" si="32"/>
        <v>456.6</v>
      </c>
    </row>
    <row r="394" spans="1:100" x14ac:dyDescent="0.2">
      <c r="A394" s="7" t="s">
        <v>181</v>
      </c>
      <c r="B394" s="1">
        <v>29</v>
      </c>
      <c r="C394" s="2" t="s">
        <v>36</v>
      </c>
      <c r="D394" s="2" t="s">
        <v>37</v>
      </c>
      <c r="E394" s="1"/>
      <c r="F394" s="1"/>
      <c r="G394" s="1" t="s">
        <v>19</v>
      </c>
      <c r="H394" s="1">
        <v>1</v>
      </c>
      <c r="I394" s="6">
        <v>125.02</v>
      </c>
      <c r="J394" s="6">
        <v>55564</v>
      </c>
      <c r="K394" s="2">
        <v>0</v>
      </c>
      <c r="L394" s="2" t="s">
        <v>3</v>
      </c>
      <c r="M394" s="7" t="s">
        <v>0</v>
      </c>
      <c r="N394" s="7" t="s">
        <v>12</v>
      </c>
      <c r="O394" s="7" t="s">
        <v>182</v>
      </c>
      <c r="S394" s="7" t="s">
        <v>96</v>
      </c>
      <c r="V394" s="8">
        <v>120.63</v>
      </c>
      <c r="W394" s="8" t="s">
        <v>196</v>
      </c>
      <c r="X394" s="15">
        <v>44412</v>
      </c>
      <c r="Y394" s="15">
        <v>45204</v>
      </c>
      <c r="Z394" s="17" t="s">
        <v>201</v>
      </c>
      <c r="AA394" s="121">
        <v>48900</v>
      </c>
      <c r="AB394" s="7">
        <v>72</v>
      </c>
      <c r="AC394" s="7">
        <v>27</v>
      </c>
      <c r="AD394" s="15">
        <v>45996</v>
      </c>
      <c r="AE394" s="52">
        <v>456.6</v>
      </c>
      <c r="AF394" s="52"/>
      <c r="AP394" s="9"/>
      <c r="AQ394" s="9"/>
      <c r="AR394" s="9"/>
      <c r="AW394" s="7"/>
      <c r="BD394" s="7"/>
      <c r="CS394" s="9">
        <f t="shared" si="29"/>
        <v>0</v>
      </c>
      <c r="CT394" s="20">
        <f t="shared" si="30"/>
        <v>0</v>
      </c>
      <c r="CU394" s="20">
        <f t="shared" si="31"/>
        <v>0</v>
      </c>
      <c r="CV394" s="24">
        <f t="shared" si="32"/>
        <v>456.6</v>
      </c>
    </row>
    <row r="395" spans="1:100" x14ac:dyDescent="0.2">
      <c r="A395" s="7" t="s">
        <v>181</v>
      </c>
      <c r="B395" s="1">
        <v>29</v>
      </c>
      <c r="C395" s="2" t="s">
        <v>36</v>
      </c>
      <c r="D395" s="2" t="s">
        <v>37</v>
      </c>
      <c r="E395" s="1"/>
      <c r="F395" s="1"/>
      <c r="G395" s="1" t="s">
        <v>19</v>
      </c>
      <c r="H395" s="1">
        <v>1</v>
      </c>
      <c r="I395" s="6">
        <v>125.02</v>
      </c>
      <c r="J395" s="6">
        <v>55564</v>
      </c>
      <c r="K395" s="2">
        <v>0</v>
      </c>
      <c r="L395" s="2" t="s">
        <v>3</v>
      </c>
      <c r="M395" s="7" t="s">
        <v>0</v>
      </c>
      <c r="N395" s="7" t="s">
        <v>12</v>
      </c>
      <c r="O395" s="7" t="s">
        <v>182</v>
      </c>
      <c r="S395" s="7" t="s">
        <v>96</v>
      </c>
      <c r="V395" s="8">
        <v>120.63</v>
      </c>
      <c r="W395" s="8" t="s">
        <v>196</v>
      </c>
      <c r="X395" s="15">
        <v>44412</v>
      </c>
      <c r="Y395" s="15">
        <v>45204</v>
      </c>
      <c r="Z395" s="17" t="s">
        <v>201</v>
      </c>
      <c r="AA395" s="121">
        <v>48900</v>
      </c>
      <c r="AB395" s="7">
        <v>72</v>
      </c>
      <c r="AC395" s="7">
        <v>28</v>
      </c>
      <c r="AD395" s="15">
        <v>46027</v>
      </c>
      <c r="AE395" s="52">
        <v>456.6</v>
      </c>
      <c r="AF395" s="52"/>
      <c r="AP395" s="9"/>
      <c r="AQ395" s="9"/>
      <c r="AR395" s="9"/>
      <c r="AW395" s="7"/>
      <c r="BD395" s="7"/>
      <c r="CS395" s="9">
        <f t="shared" si="29"/>
        <v>0</v>
      </c>
      <c r="CT395" s="20">
        <f t="shared" si="30"/>
        <v>0</v>
      </c>
      <c r="CU395" s="20">
        <f t="shared" si="31"/>
        <v>0</v>
      </c>
      <c r="CV395" s="24">
        <f t="shared" si="32"/>
        <v>456.6</v>
      </c>
    </row>
    <row r="396" spans="1:100" x14ac:dyDescent="0.2">
      <c r="A396" s="7" t="s">
        <v>181</v>
      </c>
      <c r="B396" s="1">
        <v>29</v>
      </c>
      <c r="C396" s="2" t="s">
        <v>36</v>
      </c>
      <c r="D396" s="2" t="s">
        <v>37</v>
      </c>
      <c r="E396" s="1"/>
      <c r="F396" s="1"/>
      <c r="G396" s="1" t="s">
        <v>19</v>
      </c>
      <c r="H396" s="1">
        <v>1</v>
      </c>
      <c r="I396" s="6">
        <v>125.02</v>
      </c>
      <c r="J396" s="6">
        <v>55564</v>
      </c>
      <c r="K396" s="2">
        <v>0</v>
      </c>
      <c r="L396" s="2" t="s">
        <v>3</v>
      </c>
      <c r="M396" s="7" t="s">
        <v>0</v>
      </c>
      <c r="N396" s="7" t="s">
        <v>12</v>
      </c>
      <c r="O396" s="7" t="s">
        <v>182</v>
      </c>
      <c r="S396" s="7" t="s">
        <v>96</v>
      </c>
      <c r="V396" s="8">
        <v>120.63</v>
      </c>
      <c r="W396" s="8" t="s">
        <v>196</v>
      </c>
      <c r="X396" s="15">
        <v>44412</v>
      </c>
      <c r="Y396" s="15">
        <v>45204</v>
      </c>
      <c r="Z396" s="17" t="s">
        <v>201</v>
      </c>
      <c r="AA396" s="121">
        <v>48900</v>
      </c>
      <c r="AB396" s="7">
        <v>72</v>
      </c>
      <c r="AC396" s="7">
        <v>29</v>
      </c>
      <c r="AD396" s="15">
        <v>46058</v>
      </c>
      <c r="AE396" s="52">
        <v>456.6</v>
      </c>
      <c r="AF396" s="52"/>
      <c r="AP396" s="9"/>
      <c r="AQ396" s="9"/>
      <c r="AR396" s="9"/>
      <c r="AW396" s="7"/>
      <c r="BD396" s="7"/>
      <c r="CS396" s="9">
        <f t="shared" si="29"/>
        <v>0</v>
      </c>
      <c r="CT396" s="20">
        <f t="shared" si="30"/>
        <v>0</v>
      </c>
      <c r="CU396" s="20">
        <f t="shared" si="31"/>
        <v>0</v>
      </c>
      <c r="CV396" s="24">
        <f t="shared" si="32"/>
        <v>456.6</v>
      </c>
    </row>
    <row r="397" spans="1:100" x14ac:dyDescent="0.2">
      <c r="A397" s="7" t="s">
        <v>181</v>
      </c>
      <c r="B397" s="1">
        <v>29</v>
      </c>
      <c r="C397" s="2" t="s">
        <v>36</v>
      </c>
      <c r="D397" s="2" t="s">
        <v>37</v>
      </c>
      <c r="E397" s="1"/>
      <c r="F397" s="1"/>
      <c r="G397" s="1" t="s">
        <v>19</v>
      </c>
      <c r="H397" s="1">
        <v>1</v>
      </c>
      <c r="I397" s="6">
        <v>125.02</v>
      </c>
      <c r="J397" s="6">
        <v>55564</v>
      </c>
      <c r="K397" s="2">
        <v>0</v>
      </c>
      <c r="L397" s="2" t="s">
        <v>3</v>
      </c>
      <c r="M397" s="7" t="s">
        <v>0</v>
      </c>
      <c r="N397" s="7" t="s">
        <v>12</v>
      </c>
      <c r="O397" s="7" t="s">
        <v>182</v>
      </c>
      <c r="S397" s="7" t="s">
        <v>96</v>
      </c>
      <c r="V397" s="8">
        <v>120.63</v>
      </c>
      <c r="W397" s="8" t="s">
        <v>196</v>
      </c>
      <c r="X397" s="15">
        <v>44412</v>
      </c>
      <c r="Y397" s="15">
        <v>45204</v>
      </c>
      <c r="Z397" s="17" t="s">
        <v>201</v>
      </c>
      <c r="AA397" s="121">
        <v>48900</v>
      </c>
      <c r="AB397" s="7">
        <v>72</v>
      </c>
      <c r="AC397" s="7">
        <v>30</v>
      </c>
      <c r="AD397" s="15">
        <v>46086</v>
      </c>
      <c r="AE397" s="52">
        <v>456.6</v>
      </c>
      <c r="AF397" s="52"/>
      <c r="AP397" s="9"/>
      <c r="AQ397" s="9"/>
      <c r="AR397" s="9"/>
      <c r="AW397" s="7"/>
      <c r="BD397" s="7"/>
      <c r="CS397" s="9">
        <f t="shared" si="29"/>
        <v>0</v>
      </c>
      <c r="CT397" s="20">
        <f t="shared" si="30"/>
        <v>0</v>
      </c>
      <c r="CU397" s="20">
        <f t="shared" si="31"/>
        <v>0</v>
      </c>
      <c r="CV397" s="24">
        <f t="shared" si="32"/>
        <v>456.6</v>
      </c>
    </row>
    <row r="398" spans="1:100" x14ac:dyDescent="0.2">
      <c r="A398" s="7" t="s">
        <v>181</v>
      </c>
      <c r="B398" s="1">
        <v>29</v>
      </c>
      <c r="C398" s="2" t="s">
        <v>36</v>
      </c>
      <c r="D398" s="2" t="s">
        <v>37</v>
      </c>
      <c r="E398" s="1"/>
      <c r="F398" s="1"/>
      <c r="G398" s="1" t="s">
        <v>19</v>
      </c>
      <c r="H398" s="1">
        <v>1</v>
      </c>
      <c r="I398" s="6">
        <v>125.02</v>
      </c>
      <c r="J398" s="6">
        <v>55564</v>
      </c>
      <c r="K398" s="2">
        <v>0</v>
      </c>
      <c r="L398" s="2" t="s">
        <v>3</v>
      </c>
      <c r="M398" s="7" t="s">
        <v>0</v>
      </c>
      <c r="N398" s="7" t="s">
        <v>12</v>
      </c>
      <c r="O398" s="7" t="s">
        <v>182</v>
      </c>
      <c r="S398" s="7" t="s">
        <v>96</v>
      </c>
      <c r="V398" s="8">
        <v>120.63</v>
      </c>
      <c r="W398" s="8" t="s">
        <v>196</v>
      </c>
      <c r="X398" s="15">
        <v>44412</v>
      </c>
      <c r="Y398" s="15">
        <v>45204</v>
      </c>
      <c r="Z398" s="17" t="s">
        <v>201</v>
      </c>
      <c r="AA398" s="121">
        <v>48900</v>
      </c>
      <c r="AB398" s="7">
        <v>72</v>
      </c>
      <c r="AC398" s="7">
        <v>31</v>
      </c>
      <c r="AD398" s="15">
        <v>46117</v>
      </c>
      <c r="AE398" s="52">
        <v>456.6</v>
      </c>
      <c r="AF398" s="52"/>
      <c r="AP398" s="9"/>
      <c r="AQ398" s="9"/>
      <c r="AR398" s="9"/>
      <c r="AW398" s="7"/>
      <c r="BD398" s="7"/>
      <c r="CS398" s="9">
        <f t="shared" si="29"/>
        <v>0</v>
      </c>
      <c r="CT398" s="20">
        <f t="shared" si="30"/>
        <v>0</v>
      </c>
      <c r="CU398" s="20">
        <f t="shared" si="31"/>
        <v>0</v>
      </c>
      <c r="CV398" s="24">
        <f t="shared" si="32"/>
        <v>456.6</v>
      </c>
    </row>
    <row r="399" spans="1:100" x14ac:dyDescent="0.2">
      <c r="A399" s="7" t="s">
        <v>181</v>
      </c>
      <c r="B399" s="1">
        <v>29</v>
      </c>
      <c r="C399" s="2" t="s">
        <v>36</v>
      </c>
      <c r="D399" s="2" t="s">
        <v>37</v>
      </c>
      <c r="E399" s="1"/>
      <c r="F399" s="1"/>
      <c r="G399" s="1" t="s">
        <v>19</v>
      </c>
      <c r="H399" s="1">
        <v>1</v>
      </c>
      <c r="I399" s="6">
        <v>125.02</v>
      </c>
      <c r="J399" s="6">
        <v>55564</v>
      </c>
      <c r="K399" s="2">
        <v>0</v>
      </c>
      <c r="L399" s="2" t="s">
        <v>3</v>
      </c>
      <c r="M399" s="7" t="s">
        <v>0</v>
      </c>
      <c r="N399" s="7" t="s">
        <v>12</v>
      </c>
      <c r="O399" s="7" t="s">
        <v>182</v>
      </c>
      <c r="S399" s="7" t="s">
        <v>96</v>
      </c>
      <c r="V399" s="8">
        <v>120.63</v>
      </c>
      <c r="W399" s="8" t="s">
        <v>196</v>
      </c>
      <c r="X399" s="15">
        <v>44412</v>
      </c>
      <c r="Y399" s="15">
        <v>45204</v>
      </c>
      <c r="Z399" s="17" t="s">
        <v>201</v>
      </c>
      <c r="AA399" s="121">
        <v>48900</v>
      </c>
      <c r="AB399" s="7">
        <v>72</v>
      </c>
      <c r="AC399" s="7">
        <v>32</v>
      </c>
      <c r="AD399" s="15">
        <v>46147</v>
      </c>
      <c r="AE399" s="52">
        <v>456.6</v>
      </c>
      <c r="AF399" s="52"/>
      <c r="AP399" s="9"/>
      <c r="AQ399" s="9"/>
      <c r="AR399" s="9"/>
      <c r="AW399" s="7"/>
      <c r="BD399" s="7"/>
      <c r="CS399" s="9">
        <f t="shared" si="29"/>
        <v>0</v>
      </c>
      <c r="CT399" s="20">
        <f t="shared" si="30"/>
        <v>0</v>
      </c>
      <c r="CU399" s="20">
        <f t="shared" si="31"/>
        <v>0</v>
      </c>
      <c r="CV399" s="24">
        <f t="shared" si="32"/>
        <v>456.6</v>
      </c>
    </row>
    <row r="400" spans="1:100" x14ac:dyDescent="0.2">
      <c r="A400" s="7" t="s">
        <v>181</v>
      </c>
      <c r="B400" s="1">
        <v>29</v>
      </c>
      <c r="C400" s="2" t="s">
        <v>36</v>
      </c>
      <c r="D400" s="2" t="s">
        <v>37</v>
      </c>
      <c r="E400" s="1"/>
      <c r="F400" s="1"/>
      <c r="G400" s="1" t="s">
        <v>19</v>
      </c>
      <c r="H400" s="1">
        <v>1</v>
      </c>
      <c r="I400" s="6">
        <v>125.02</v>
      </c>
      <c r="J400" s="6">
        <v>55564</v>
      </c>
      <c r="K400" s="2">
        <v>0</v>
      </c>
      <c r="L400" s="2" t="s">
        <v>3</v>
      </c>
      <c r="M400" s="7" t="s">
        <v>0</v>
      </c>
      <c r="N400" s="7" t="s">
        <v>12</v>
      </c>
      <c r="O400" s="7" t="s">
        <v>182</v>
      </c>
      <c r="S400" s="7" t="s">
        <v>96</v>
      </c>
      <c r="V400" s="8">
        <v>120.63</v>
      </c>
      <c r="W400" s="8" t="s">
        <v>196</v>
      </c>
      <c r="X400" s="15">
        <v>44412</v>
      </c>
      <c r="Y400" s="15">
        <v>45204</v>
      </c>
      <c r="Z400" s="17" t="s">
        <v>201</v>
      </c>
      <c r="AA400" s="121">
        <v>48900</v>
      </c>
      <c r="AB400" s="7">
        <v>72</v>
      </c>
      <c r="AC400" s="7">
        <v>33</v>
      </c>
      <c r="AD400" s="15">
        <v>46178</v>
      </c>
      <c r="AE400" s="52">
        <v>456.6</v>
      </c>
      <c r="AF400" s="52"/>
      <c r="AP400" s="9"/>
      <c r="AQ400" s="9"/>
      <c r="AR400" s="9"/>
      <c r="AW400" s="7"/>
      <c r="BD400" s="7"/>
      <c r="CS400" s="9">
        <f t="shared" si="29"/>
        <v>0</v>
      </c>
      <c r="CT400" s="20">
        <f t="shared" si="30"/>
        <v>0</v>
      </c>
      <c r="CU400" s="20">
        <f t="shared" si="31"/>
        <v>0</v>
      </c>
      <c r="CV400" s="24">
        <f t="shared" si="32"/>
        <v>456.6</v>
      </c>
    </row>
    <row r="401" spans="1:100" x14ac:dyDescent="0.2">
      <c r="A401" s="7" t="s">
        <v>181</v>
      </c>
      <c r="B401" s="1">
        <v>29</v>
      </c>
      <c r="C401" s="2" t="s">
        <v>36</v>
      </c>
      <c r="D401" s="2" t="s">
        <v>37</v>
      </c>
      <c r="E401" s="1"/>
      <c r="F401" s="1"/>
      <c r="G401" s="1" t="s">
        <v>19</v>
      </c>
      <c r="H401" s="1">
        <v>1</v>
      </c>
      <c r="I401" s="6">
        <v>125.02</v>
      </c>
      <c r="J401" s="6">
        <v>55564</v>
      </c>
      <c r="K401" s="2">
        <v>0</v>
      </c>
      <c r="L401" s="2" t="s">
        <v>3</v>
      </c>
      <c r="M401" s="7" t="s">
        <v>0</v>
      </c>
      <c r="N401" s="7" t="s">
        <v>12</v>
      </c>
      <c r="O401" s="7" t="s">
        <v>182</v>
      </c>
      <c r="S401" s="7" t="s">
        <v>96</v>
      </c>
      <c r="V401" s="8">
        <v>120.63</v>
      </c>
      <c r="W401" s="8" t="s">
        <v>196</v>
      </c>
      <c r="X401" s="15">
        <v>44412</v>
      </c>
      <c r="Y401" s="15">
        <v>45204</v>
      </c>
      <c r="Z401" s="17" t="s">
        <v>201</v>
      </c>
      <c r="AA401" s="121">
        <v>48900</v>
      </c>
      <c r="AB401" s="7">
        <v>72</v>
      </c>
      <c r="AC401" s="7">
        <v>34</v>
      </c>
      <c r="AD401" s="15">
        <v>46208</v>
      </c>
      <c r="AE401" s="52">
        <v>456.6</v>
      </c>
      <c r="AF401" s="52"/>
      <c r="AP401" s="9"/>
      <c r="AQ401" s="9"/>
      <c r="AR401" s="9"/>
      <c r="AW401" s="7"/>
      <c r="BD401" s="7"/>
      <c r="CS401" s="9">
        <f t="shared" si="29"/>
        <v>0</v>
      </c>
      <c r="CT401" s="20">
        <f t="shared" si="30"/>
        <v>0</v>
      </c>
      <c r="CU401" s="20">
        <f t="shared" si="31"/>
        <v>0</v>
      </c>
      <c r="CV401" s="24">
        <f t="shared" si="32"/>
        <v>456.6</v>
      </c>
    </row>
    <row r="402" spans="1:100" x14ac:dyDescent="0.2">
      <c r="A402" s="7" t="s">
        <v>181</v>
      </c>
      <c r="B402" s="1">
        <v>29</v>
      </c>
      <c r="C402" s="2" t="s">
        <v>36</v>
      </c>
      <c r="D402" s="2" t="s">
        <v>37</v>
      </c>
      <c r="E402" s="1"/>
      <c r="F402" s="1"/>
      <c r="G402" s="1" t="s">
        <v>19</v>
      </c>
      <c r="H402" s="1">
        <v>1</v>
      </c>
      <c r="I402" s="6">
        <v>125.02</v>
      </c>
      <c r="J402" s="6">
        <v>55564</v>
      </c>
      <c r="K402" s="2">
        <v>0</v>
      </c>
      <c r="L402" s="2" t="s">
        <v>3</v>
      </c>
      <c r="M402" s="7" t="s">
        <v>0</v>
      </c>
      <c r="N402" s="7" t="s">
        <v>12</v>
      </c>
      <c r="O402" s="7" t="s">
        <v>182</v>
      </c>
      <c r="S402" s="7" t="s">
        <v>96</v>
      </c>
      <c r="V402" s="8">
        <v>120.63</v>
      </c>
      <c r="W402" s="8" t="s">
        <v>196</v>
      </c>
      <c r="X402" s="15">
        <v>44412</v>
      </c>
      <c r="Y402" s="15">
        <v>45204</v>
      </c>
      <c r="Z402" s="17" t="s">
        <v>201</v>
      </c>
      <c r="AA402" s="121">
        <v>48900</v>
      </c>
      <c r="AB402" s="7">
        <v>72</v>
      </c>
      <c r="AC402" s="7">
        <v>35</v>
      </c>
      <c r="AD402" s="15">
        <v>46239</v>
      </c>
      <c r="AE402" s="52">
        <v>456.6</v>
      </c>
      <c r="AF402" s="52"/>
      <c r="AP402" s="9"/>
      <c r="AQ402" s="9"/>
      <c r="AR402" s="9"/>
      <c r="AW402" s="7"/>
      <c r="BD402" s="7"/>
      <c r="CS402" s="9">
        <f t="shared" si="29"/>
        <v>0</v>
      </c>
      <c r="CT402" s="20">
        <f t="shared" si="30"/>
        <v>0</v>
      </c>
      <c r="CU402" s="20">
        <f t="shared" si="31"/>
        <v>0</v>
      </c>
      <c r="CV402" s="24">
        <f t="shared" si="32"/>
        <v>456.6</v>
      </c>
    </row>
    <row r="403" spans="1:100" x14ac:dyDescent="0.2">
      <c r="A403" s="7" t="s">
        <v>181</v>
      </c>
      <c r="B403" s="1">
        <v>29</v>
      </c>
      <c r="C403" s="2" t="s">
        <v>36</v>
      </c>
      <c r="D403" s="2" t="s">
        <v>37</v>
      </c>
      <c r="E403" s="1"/>
      <c r="F403" s="1"/>
      <c r="G403" s="1" t="s">
        <v>19</v>
      </c>
      <c r="H403" s="1">
        <v>1</v>
      </c>
      <c r="I403" s="6">
        <v>125.02</v>
      </c>
      <c r="J403" s="6">
        <v>55564</v>
      </c>
      <c r="K403" s="2">
        <v>0</v>
      </c>
      <c r="L403" s="2" t="s">
        <v>3</v>
      </c>
      <c r="M403" s="7" t="s">
        <v>0</v>
      </c>
      <c r="N403" s="7" t="s">
        <v>12</v>
      </c>
      <c r="O403" s="7" t="s">
        <v>182</v>
      </c>
      <c r="S403" s="7" t="s">
        <v>96</v>
      </c>
      <c r="V403" s="8">
        <v>120.63</v>
      </c>
      <c r="W403" s="8" t="s">
        <v>196</v>
      </c>
      <c r="X403" s="15">
        <v>44412</v>
      </c>
      <c r="Y403" s="15">
        <v>45204</v>
      </c>
      <c r="Z403" s="17" t="s">
        <v>201</v>
      </c>
      <c r="AA403" s="121">
        <v>48900</v>
      </c>
      <c r="AB403" s="7">
        <v>72</v>
      </c>
      <c r="AC403" s="7">
        <v>36</v>
      </c>
      <c r="AD403" s="15">
        <v>46270</v>
      </c>
      <c r="AE403" s="52">
        <v>456.6</v>
      </c>
      <c r="AF403" s="52"/>
      <c r="AP403" s="9"/>
      <c r="AQ403" s="9"/>
      <c r="AR403" s="9"/>
      <c r="AW403" s="7"/>
      <c r="BD403" s="7"/>
      <c r="CS403" s="9">
        <f t="shared" si="29"/>
        <v>0</v>
      </c>
      <c r="CT403" s="20">
        <f t="shared" si="30"/>
        <v>0</v>
      </c>
      <c r="CU403" s="20">
        <f t="shared" si="31"/>
        <v>0</v>
      </c>
      <c r="CV403" s="24">
        <f t="shared" si="32"/>
        <v>456.6</v>
      </c>
    </row>
    <row r="404" spans="1:100" x14ac:dyDescent="0.2">
      <c r="A404" s="7" t="s">
        <v>181</v>
      </c>
      <c r="B404" s="1">
        <v>29</v>
      </c>
      <c r="C404" s="2" t="s">
        <v>36</v>
      </c>
      <c r="D404" s="2" t="s">
        <v>37</v>
      </c>
      <c r="E404" s="1"/>
      <c r="F404" s="1"/>
      <c r="G404" s="1" t="s">
        <v>19</v>
      </c>
      <c r="H404" s="1">
        <v>1</v>
      </c>
      <c r="I404" s="6">
        <v>125.02</v>
      </c>
      <c r="J404" s="6">
        <v>55564</v>
      </c>
      <c r="K404" s="2">
        <v>0</v>
      </c>
      <c r="L404" s="2" t="s">
        <v>3</v>
      </c>
      <c r="M404" s="7" t="s">
        <v>0</v>
      </c>
      <c r="N404" s="7" t="s">
        <v>12</v>
      </c>
      <c r="O404" s="7" t="s">
        <v>182</v>
      </c>
      <c r="S404" s="7" t="s">
        <v>96</v>
      </c>
      <c r="V404" s="8">
        <v>120.63</v>
      </c>
      <c r="W404" s="8" t="s">
        <v>196</v>
      </c>
      <c r="X404" s="15">
        <v>44412</v>
      </c>
      <c r="Y404" s="15">
        <v>45204</v>
      </c>
      <c r="Z404" s="17" t="s">
        <v>201</v>
      </c>
      <c r="AA404" s="121">
        <v>48900</v>
      </c>
      <c r="AB404" s="7">
        <v>72</v>
      </c>
      <c r="AC404" s="7">
        <v>37</v>
      </c>
      <c r="AD404" s="15">
        <v>46300</v>
      </c>
      <c r="AE404" s="52">
        <v>456.6</v>
      </c>
      <c r="AF404" s="52"/>
      <c r="AP404" s="9"/>
      <c r="AQ404" s="9"/>
      <c r="AR404" s="9"/>
      <c r="AW404" s="7"/>
      <c r="BD404" s="7"/>
      <c r="CS404" s="9">
        <f t="shared" si="29"/>
        <v>0</v>
      </c>
      <c r="CT404" s="20">
        <f t="shared" si="30"/>
        <v>0</v>
      </c>
      <c r="CU404" s="20">
        <f t="shared" si="31"/>
        <v>0</v>
      </c>
      <c r="CV404" s="24">
        <f t="shared" si="32"/>
        <v>456.6</v>
      </c>
    </row>
    <row r="405" spans="1:100" x14ac:dyDescent="0.2">
      <c r="A405" s="7" t="s">
        <v>181</v>
      </c>
      <c r="B405" s="1">
        <v>29</v>
      </c>
      <c r="C405" s="2" t="s">
        <v>36</v>
      </c>
      <c r="D405" s="2" t="s">
        <v>37</v>
      </c>
      <c r="E405" s="1"/>
      <c r="F405" s="1"/>
      <c r="G405" s="1" t="s">
        <v>19</v>
      </c>
      <c r="H405" s="1">
        <v>1</v>
      </c>
      <c r="I405" s="6">
        <v>125.02</v>
      </c>
      <c r="J405" s="6">
        <v>55564</v>
      </c>
      <c r="K405" s="2">
        <v>0</v>
      </c>
      <c r="L405" s="2" t="s">
        <v>3</v>
      </c>
      <c r="M405" s="7" t="s">
        <v>0</v>
      </c>
      <c r="N405" s="7" t="s">
        <v>12</v>
      </c>
      <c r="O405" s="7" t="s">
        <v>182</v>
      </c>
      <c r="S405" s="7" t="s">
        <v>96</v>
      </c>
      <c r="V405" s="8">
        <v>120.63</v>
      </c>
      <c r="W405" s="8" t="s">
        <v>196</v>
      </c>
      <c r="X405" s="15">
        <v>44412</v>
      </c>
      <c r="Y405" s="15">
        <v>45204</v>
      </c>
      <c r="Z405" s="17" t="s">
        <v>201</v>
      </c>
      <c r="AA405" s="121">
        <v>48900</v>
      </c>
      <c r="AB405" s="7">
        <v>72</v>
      </c>
      <c r="AC405" s="7">
        <v>38</v>
      </c>
      <c r="AD405" s="15">
        <v>46331</v>
      </c>
      <c r="AE405" s="52">
        <v>456.6</v>
      </c>
      <c r="AF405" s="52"/>
      <c r="AP405" s="9"/>
      <c r="AQ405" s="9"/>
      <c r="AR405" s="9"/>
      <c r="AW405" s="7"/>
      <c r="BD405" s="7"/>
      <c r="CS405" s="9">
        <f t="shared" si="29"/>
        <v>0</v>
      </c>
      <c r="CT405" s="20">
        <f t="shared" si="30"/>
        <v>0</v>
      </c>
      <c r="CU405" s="20">
        <f t="shared" si="31"/>
        <v>0</v>
      </c>
      <c r="CV405" s="24">
        <f t="shared" si="32"/>
        <v>456.6</v>
      </c>
    </row>
    <row r="406" spans="1:100" x14ac:dyDescent="0.2">
      <c r="A406" s="7" t="s">
        <v>181</v>
      </c>
      <c r="B406" s="1">
        <v>29</v>
      </c>
      <c r="C406" s="2" t="s">
        <v>36</v>
      </c>
      <c r="D406" s="2" t="s">
        <v>37</v>
      </c>
      <c r="E406" s="1"/>
      <c r="F406" s="1"/>
      <c r="G406" s="1" t="s">
        <v>19</v>
      </c>
      <c r="H406" s="1">
        <v>1</v>
      </c>
      <c r="I406" s="6">
        <v>125.02</v>
      </c>
      <c r="J406" s="6">
        <v>55564</v>
      </c>
      <c r="K406" s="2">
        <v>0</v>
      </c>
      <c r="L406" s="2" t="s">
        <v>3</v>
      </c>
      <c r="M406" s="7" t="s">
        <v>0</v>
      </c>
      <c r="N406" s="7" t="s">
        <v>12</v>
      </c>
      <c r="O406" s="7" t="s">
        <v>182</v>
      </c>
      <c r="S406" s="7" t="s">
        <v>96</v>
      </c>
      <c r="V406" s="8">
        <v>120.63</v>
      </c>
      <c r="W406" s="8" t="s">
        <v>196</v>
      </c>
      <c r="X406" s="15">
        <v>44412</v>
      </c>
      <c r="Y406" s="15">
        <v>45204</v>
      </c>
      <c r="Z406" s="17" t="s">
        <v>201</v>
      </c>
      <c r="AA406" s="121">
        <v>48900</v>
      </c>
      <c r="AB406" s="7">
        <v>72</v>
      </c>
      <c r="AC406" s="7">
        <v>39</v>
      </c>
      <c r="AD406" s="15">
        <v>46361</v>
      </c>
      <c r="AE406" s="52">
        <v>456.6</v>
      </c>
      <c r="AF406" s="52"/>
      <c r="AP406" s="9"/>
      <c r="AQ406" s="9"/>
      <c r="AR406" s="9"/>
      <c r="AW406" s="7"/>
      <c r="BD406" s="7"/>
      <c r="CS406" s="9">
        <f t="shared" si="29"/>
        <v>0</v>
      </c>
      <c r="CT406" s="20">
        <f t="shared" si="30"/>
        <v>0</v>
      </c>
      <c r="CU406" s="20">
        <f t="shared" si="31"/>
        <v>0</v>
      </c>
      <c r="CV406" s="24">
        <f t="shared" si="32"/>
        <v>456.6</v>
      </c>
    </row>
    <row r="407" spans="1:100" x14ac:dyDescent="0.2">
      <c r="A407" s="7" t="s">
        <v>181</v>
      </c>
      <c r="B407" s="1">
        <v>29</v>
      </c>
      <c r="C407" s="2" t="s">
        <v>36</v>
      </c>
      <c r="D407" s="2" t="s">
        <v>37</v>
      </c>
      <c r="E407" s="1"/>
      <c r="F407" s="1"/>
      <c r="G407" s="1" t="s">
        <v>19</v>
      </c>
      <c r="H407" s="1">
        <v>1</v>
      </c>
      <c r="I407" s="6">
        <v>125.02</v>
      </c>
      <c r="J407" s="6">
        <v>55564</v>
      </c>
      <c r="K407" s="2">
        <v>0</v>
      </c>
      <c r="L407" s="2" t="s">
        <v>3</v>
      </c>
      <c r="M407" s="7" t="s">
        <v>0</v>
      </c>
      <c r="N407" s="7" t="s">
        <v>12</v>
      </c>
      <c r="O407" s="7" t="s">
        <v>182</v>
      </c>
      <c r="S407" s="7" t="s">
        <v>96</v>
      </c>
      <c r="V407" s="8">
        <v>120.63</v>
      </c>
      <c r="W407" s="8" t="s">
        <v>196</v>
      </c>
      <c r="X407" s="15">
        <v>44412</v>
      </c>
      <c r="Y407" s="15">
        <v>45204</v>
      </c>
      <c r="Z407" s="17" t="s">
        <v>201</v>
      </c>
      <c r="AA407" s="121">
        <v>48900</v>
      </c>
      <c r="AB407" s="7">
        <v>72</v>
      </c>
      <c r="AC407" s="7">
        <v>40</v>
      </c>
      <c r="AD407" s="15">
        <v>46392</v>
      </c>
      <c r="AE407" s="52">
        <v>456.6</v>
      </c>
      <c r="AF407" s="52"/>
      <c r="AP407" s="9"/>
      <c r="AQ407" s="9"/>
      <c r="AR407" s="9"/>
      <c r="AW407" s="7"/>
      <c r="BD407" s="7"/>
      <c r="CS407" s="9">
        <f t="shared" si="29"/>
        <v>0</v>
      </c>
      <c r="CT407" s="20">
        <f t="shared" si="30"/>
        <v>0</v>
      </c>
      <c r="CU407" s="20">
        <f t="shared" si="31"/>
        <v>0</v>
      </c>
      <c r="CV407" s="24">
        <f t="shared" si="32"/>
        <v>456.6</v>
      </c>
    </row>
    <row r="408" spans="1:100" x14ac:dyDescent="0.2">
      <c r="A408" s="7" t="s">
        <v>181</v>
      </c>
      <c r="B408" s="1">
        <v>29</v>
      </c>
      <c r="C408" s="2" t="s">
        <v>36</v>
      </c>
      <c r="D408" s="2" t="s">
        <v>37</v>
      </c>
      <c r="E408" s="1"/>
      <c r="F408" s="1"/>
      <c r="G408" s="1" t="s">
        <v>19</v>
      </c>
      <c r="H408" s="1">
        <v>1</v>
      </c>
      <c r="I408" s="6">
        <v>125.02</v>
      </c>
      <c r="J408" s="6">
        <v>55564</v>
      </c>
      <c r="K408" s="2">
        <v>0</v>
      </c>
      <c r="L408" s="2" t="s">
        <v>3</v>
      </c>
      <c r="M408" s="7" t="s">
        <v>0</v>
      </c>
      <c r="N408" s="7" t="s">
        <v>12</v>
      </c>
      <c r="O408" s="7" t="s">
        <v>182</v>
      </c>
      <c r="S408" s="7" t="s">
        <v>96</v>
      </c>
      <c r="V408" s="8">
        <v>120.63</v>
      </c>
      <c r="W408" s="8" t="s">
        <v>196</v>
      </c>
      <c r="X408" s="15">
        <v>44412</v>
      </c>
      <c r="Y408" s="15">
        <v>45204</v>
      </c>
      <c r="Z408" s="17" t="s">
        <v>201</v>
      </c>
      <c r="AA408" s="121">
        <v>48900</v>
      </c>
      <c r="AB408" s="7">
        <v>72</v>
      </c>
      <c r="AC408" s="7">
        <v>41</v>
      </c>
      <c r="AD408" s="15">
        <v>46423</v>
      </c>
      <c r="AE408" s="52">
        <v>456.6</v>
      </c>
      <c r="AF408" s="52"/>
      <c r="AP408" s="9"/>
      <c r="AQ408" s="9"/>
      <c r="AR408" s="9"/>
      <c r="AW408" s="7"/>
      <c r="BD408" s="7"/>
      <c r="CS408" s="9">
        <f t="shared" si="29"/>
        <v>0</v>
      </c>
      <c r="CT408" s="20">
        <f t="shared" si="30"/>
        <v>0</v>
      </c>
      <c r="CU408" s="20">
        <f t="shared" si="31"/>
        <v>0</v>
      </c>
      <c r="CV408" s="24">
        <f t="shared" si="32"/>
        <v>456.6</v>
      </c>
    </row>
    <row r="409" spans="1:100" x14ac:dyDescent="0.2">
      <c r="A409" s="7" t="s">
        <v>181</v>
      </c>
      <c r="B409" s="1">
        <v>29</v>
      </c>
      <c r="C409" s="2" t="s">
        <v>36</v>
      </c>
      <c r="D409" s="2" t="s">
        <v>37</v>
      </c>
      <c r="E409" s="1"/>
      <c r="F409" s="1"/>
      <c r="G409" s="1" t="s">
        <v>19</v>
      </c>
      <c r="H409" s="1">
        <v>1</v>
      </c>
      <c r="I409" s="6">
        <v>125.02</v>
      </c>
      <c r="J409" s="6">
        <v>55564</v>
      </c>
      <c r="K409" s="2">
        <v>0</v>
      </c>
      <c r="L409" s="2" t="s">
        <v>3</v>
      </c>
      <c r="M409" s="7" t="s">
        <v>0</v>
      </c>
      <c r="N409" s="7" t="s">
        <v>12</v>
      </c>
      <c r="O409" s="7" t="s">
        <v>182</v>
      </c>
      <c r="S409" s="7" t="s">
        <v>96</v>
      </c>
      <c r="V409" s="8">
        <v>120.63</v>
      </c>
      <c r="W409" s="8" t="s">
        <v>196</v>
      </c>
      <c r="X409" s="15">
        <v>44412</v>
      </c>
      <c r="Y409" s="15">
        <v>45204</v>
      </c>
      <c r="Z409" s="17" t="s">
        <v>201</v>
      </c>
      <c r="AA409" s="121">
        <v>48900</v>
      </c>
      <c r="AB409" s="7">
        <v>72</v>
      </c>
      <c r="AC409" s="7">
        <v>42</v>
      </c>
      <c r="AD409" s="15">
        <v>46451</v>
      </c>
      <c r="AE409" s="52">
        <v>456.6</v>
      </c>
      <c r="AF409" s="52"/>
      <c r="AP409" s="9"/>
      <c r="AQ409" s="9"/>
      <c r="AR409" s="9"/>
      <c r="AW409" s="7"/>
      <c r="BD409" s="7"/>
      <c r="CS409" s="9">
        <f t="shared" si="29"/>
        <v>0</v>
      </c>
      <c r="CT409" s="20">
        <f t="shared" si="30"/>
        <v>0</v>
      </c>
      <c r="CU409" s="20">
        <f t="shared" si="31"/>
        <v>0</v>
      </c>
      <c r="CV409" s="24">
        <f t="shared" si="32"/>
        <v>456.6</v>
      </c>
    </row>
    <row r="410" spans="1:100" x14ac:dyDescent="0.2">
      <c r="A410" s="7" t="s">
        <v>181</v>
      </c>
      <c r="B410" s="1">
        <v>29</v>
      </c>
      <c r="C410" s="2" t="s">
        <v>36</v>
      </c>
      <c r="D410" s="2" t="s">
        <v>37</v>
      </c>
      <c r="E410" s="1"/>
      <c r="F410" s="1"/>
      <c r="G410" s="1" t="s">
        <v>19</v>
      </c>
      <c r="H410" s="1">
        <v>1</v>
      </c>
      <c r="I410" s="6">
        <v>125.02</v>
      </c>
      <c r="J410" s="6">
        <v>55564</v>
      </c>
      <c r="K410" s="2">
        <v>0</v>
      </c>
      <c r="L410" s="2" t="s">
        <v>3</v>
      </c>
      <c r="M410" s="7" t="s">
        <v>0</v>
      </c>
      <c r="N410" s="7" t="s">
        <v>12</v>
      </c>
      <c r="O410" s="7" t="s">
        <v>182</v>
      </c>
      <c r="S410" s="7" t="s">
        <v>96</v>
      </c>
      <c r="V410" s="8">
        <v>120.63</v>
      </c>
      <c r="W410" s="8" t="s">
        <v>196</v>
      </c>
      <c r="X410" s="15">
        <v>44412</v>
      </c>
      <c r="Y410" s="15">
        <v>45204</v>
      </c>
      <c r="Z410" s="17" t="s">
        <v>201</v>
      </c>
      <c r="AA410" s="121">
        <v>48900</v>
      </c>
      <c r="AB410" s="7">
        <v>72</v>
      </c>
      <c r="AC410" s="7">
        <v>43</v>
      </c>
      <c r="AD410" s="15">
        <v>46482</v>
      </c>
      <c r="AE410" s="52">
        <v>456.6</v>
      </c>
      <c r="AF410" s="52"/>
      <c r="AP410" s="9"/>
      <c r="AQ410" s="9"/>
      <c r="AR410" s="9"/>
      <c r="AW410" s="7"/>
      <c r="BD410" s="7"/>
      <c r="CS410" s="9">
        <f t="shared" si="29"/>
        <v>0</v>
      </c>
      <c r="CT410" s="20">
        <f t="shared" si="30"/>
        <v>0</v>
      </c>
      <c r="CU410" s="20">
        <f t="shared" si="31"/>
        <v>0</v>
      </c>
      <c r="CV410" s="24">
        <f t="shared" si="32"/>
        <v>456.6</v>
      </c>
    </row>
    <row r="411" spans="1:100" x14ac:dyDescent="0.2">
      <c r="A411" s="7" t="s">
        <v>181</v>
      </c>
      <c r="B411" s="1">
        <v>29</v>
      </c>
      <c r="C411" s="2" t="s">
        <v>36</v>
      </c>
      <c r="D411" s="2" t="s">
        <v>37</v>
      </c>
      <c r="E411" s="1"/>
      <c r="F411" s="1"/>
      <c r="G411" s="1" t="s">
        <v>19</v>
      </c>
      <c r="H411" s="1">
        <v>1</v>
      </c>
      <c r="I411" s="6">
        <v>125.02</v>
      </c>
      <c r="J411" s="6">
        <v>55564</v>
      </c>
      <c r="K411" s="2">
        <v>0</v>
      </c>
      <c r="L411" s="2" t="s">
        <v>3</v>
      </c>
      <c r="M411" s="7" t="s">
        <v>0</v>
      </c>
      <c r="N411" s="7" t="s">
        <v>12</v>
      </c>
      <c r="O411" s="7" t="s">
        <v>182</v>
      </c>
      <c r="S411" s="7" t="s">
        <v>96</v>
      </c>
      <c r="V411" s="8">
        <v>120.63</v>
      </c>
      <c r="W411" s="8" t="s">
        <v>196</v>
      </c>
      <c r="X411" s="15">
        <v>44412</v>
      </c>
      <c r="Y411" s="15">
        <v>45204</v>
      </c>
      <c r="Z411" s="17" t="s">
        <v>201</v>
      </c>
      <c r="AA411" s="121">
        <v>48900</v>
      </c>
      <c r="AB411" s="7">
        <v>72</v>
      </c>
      <c r="AC411" s="7">
        <v>44</v>
      </c>
      <c r="AD411" s="15">
        <v>46512</v>
      </c>
      <c r="AE411" s="52">
        <v>456.6</v>
      </c>
      <c r="AF411" s="52"/>
      <c r="AP411" s="9"/>
      <c r="AQ411" s="9"/>
      <c r="AR411" s="9"/>
      <c r="AW411" s="7"/>
      <c r="BD411" s="7"/>
      <c r="CS411" s="9">
        <f t="shared" si="29"/>
        <v>0</v>
      </c>
      <c r="CT411" s="20">
        <f t="shared" si="30"/>
        <v>0</v>
      </c>
      <c r="CU411" s="20">
        <f t="shared" si="31"/>
        <v>0</v>
      </c>
      <c r="CV411" s="24">
        <f t="shared" si="32"/>
        <v>456.6</v>
      </c>
    </row>
    <row r="412" spans="1:100" x14ac:dyDescent="0.2">
      <c r="A412" s="7" t="s">
        <v>181</v>
      </c>
      <c r="B412" s="1">
        <v>29</v>
      </c>
      <c r="C412" s="2" t="s">
        <v>36</v>
      </c>
      <c r="D412" s="2" t="s">
        <v>37</v>
      </c>
      <c r="E412" s="1"/>
      <c r="F412" s="1"/>
      <c r="G412" s="1" t="s">
        <v>19</v>
      </c>
      <c r="H412" s="1">
        <v>1</v>
      </c>
      <c r="I412" s="6">
        <v>125.02</v>
      </c>
      <c r="J412" s="6">
        <v>55564</v>
      </c>
      <c r="K412" s="2">
        <v>0</v>
      </c>
      <c r="L412" s="2" t="s">
        <v>3</v>
      </c>
      <c r="M412" s="7" t="s">
        <v>0</v>
      </c>
      <c r="N412" s="7" t="s">
        <v>12</v>
      </c>
      <c r="O412" s="7" t="s">
        <v>182</v>
      </c>
      <c r="S412" s="7" t="s">
        <v>96</v>
      </c>
      <c r="V412" s="8">
        <v>120.63</v>
      </c>
      <c r="W412" s="8" t="s">
        <v>196</v>
      </c>
      <c r="X412" s="15">
        <v>44412</v>
      </c>
      <c r="Y412" s="15">
        <v>45204</v>
      </c>
      <c r="Z412" s="17" t="s">
        <v>201</v>
      </c>
      <c r="AA412" s="121">
        <v>48900</v>
      </c>
      <c r="AB412" s="7">
        <v>72</v>
      </c>
      <c r="AC412" s="7">
        <v>45</v>
      </c>
      <c r="AD412" s="15">
        <v>46543</v>
      </c>
      <c r="AE412" s="52">
        <v>456.6</v>
      </c>
      <c r="AF412" s="52"/>
      <c r="AP412" s="9"/>
      <c r="AQ412" s="9"/>
      <c r="AR412" s="9"/>
      <c r="AW412" s="7"/>
      <c r="BD412" s="7"/>
      <c r="CS412" s="9">
        <f t="shared" ref="CS412:CS439" si="33">+AL412+AT412</f>
        <v>0</v>
      </c>
      <c r="CT412" s="20">
        <f t="shared" ref="CT412:CT439" si="34">+BA412+BG412+BM412+BS412+BY412+CE412+CK412+CQ412</f>
        <v>0</v>
      </c>
      <c r="CU412" s="20">
        <f t="shared" ref="CU412:CU475" si="35">+CS412-CT412</f>
        <v>0</v>
      </c>
      <c r="CV412" s="24">
        <f t="shared" ref="CV412:CV439" si="36">+AE412-AL412-AT412</f>
        <v>456.6</v>
      </c>
    </row>
    <row r="413" spans="1:100" x14ac:dyDescent="0.2">
      <c r="A413" s="7" t="s">
        <v>181</v>
      </c>
      <c r="B413" s="1">
        <v>29</v>
      </c>
      <c r="C413" s="2" t="s">
        <v>36</v>
      </c>
      <c r="D413" s="2" t="s">
        <v>37</v>
      </c>
      <c r="E413" s="1"/>
      <c r="F413" s="1"/>
      <c r="G413" s="1" t="s">
        <v>19</v>
      </c>
      <c r="H413" s="1">
        <v>1</v>
      </c>
      <c r="I413" s="6">
        <v>125.02</v>
      </c>
      <c r="J413" s="6">
        <v>55564</v>
      </c>
      <c r="K413" s="2">
        <v>0</v>
      </c>
      <c r="L413" s="2" t="s">
        <v>3</v>
      </c>
      <c r="M413" s="7" t="s">
        <v>0</v>
      </c>
      <c r="N413" s="7" t="s">
        <v>12</v>
      </c>
      <c r="O413" s="7" t="s">
        <v>182</v>
      </c>
      <c r="S413" s="7" t="s">
        <v>96</v>
      </c>
      <c r="V413" s="8">
        <v>120.63</v>
      </c>
      <c r="W413" s="8" t="s">
        <v>196</v>
      </c>
      <c r="X413" s="15">
        <v>44412</v>
      </c>
      <c r="Y413" s="15">
        <v>45204</v>
      </c>
      <c r="Z413" s="17" t="s">
        <v>201</v>
      </c>
      <c r="AA413" s="121">
        <v>48900</v>
      </c>
      <c r="AB413" s="7">
        <v>72</v>
      </c>
      <c r="AC413" s="7">
        <v>46</v>
      </c>
      <c r="AD413" s="15">
        <v>46573</v>
      </c>
      <c r="AE413" s="52">
        <v>456.6</v>
      </c>
      <c r="AF413" s="52"/>
      <c r="AP413" s="9"/>
      <c r="AQ413" s="9"/>
      <c r="AR413" s="9"/>
      <c r="AW413" s="7"/>
      <c r="BD413" s="7"/>
      <c r="CS413" s="9">
        <f t="shared" si="33"/>
        <v>0</v>
      </c>
      <c r="CT413" s="20">
        <f t="shared" si="34"/>
        <v>0</v>
      </c>
      <c r="CU413" s="20">
        <f t="shared" si="35"/>
        <v>0</v>
      </c>
      <c r="CV413" s="24">
        <f t="shared" si="36"/>
        <v>456.6</v>
      </c>
    </row>
    <row r="414" spans="1:100" x14ac:dyDescent="0.2">
      <c r="A414" s="7" t="s">
        <v>181</v>
      </c>
      <c r="B414" s="1">
        <v>29</v>
      </c>
      <c r="C414" s="2" t="s">
        <v>36</v>
      </c>
      <c r="D414" s="2" t="s">
        <v>37</v>
      </c>
      <c r="E414" s="1"/>
      <c r="F414" s="1"/>
      <c r="G414" s="1" t="s">
        <v>19</v>
      </c>
      <c r="H414" s="1">
        <v>1</v>
      </c>
      <c r="I414" s="6">
        <v>125.02</v>
      </c>
      <c r="J414" s="6">
        <v>55564</v>
      </c>
      <c r="K414" s="2">
        <v>0</v>
      </c>
      <c r="L414" s="2" t="s">
        <v>3</v>
      </c>
      <c r="M414" s="7" t="s">
        <v>0</v>
      </c>
      <c r="N414" s="7" t="s">
        <v>12</v>
      </c>
      <c r="O414" s="7" t="s">
        <v>182</v>
      </c>
      <c r="S414" s="7" t="s">
        <v>96</v>
      </c>
      <c r="V414" s="8">
        <v>120.63</v>
      </c>
      <c r="W414" s="8" t="s">
        <v>196</v>
      </c>
      <c r="X414" s="15">
        <v>44412</v>
      </c>
      <c r="Y414" s="15">
        <v>45204</v>
      </c>
      <c r="Z414" s="17" t="s">
        <v>201</v>
      </c>
      <c r="AA414" s="121">
        <v>48900</v>
      </c>
      <c r="AB414" s="7">
        <v>72</v>
      </c>
      <c r="AC414" s="7">
        <v>47</v>
      </c>
      <c r="AD414" s="15">
        <v>46604</v>
      </c>
      <c r="AE414" s="52">
        <v>456.6</v>
      </c>
      <c r="AF414" s="52"/>
      <c r="AP414" s="9"/>
      <c r="AQ414" s="9"/>
      <c r="AR414" s="9"/>
      <c r="AW414" s="7"/>
      <c r="BD414" s="7"/>
      <c r="CS414" s="9">
        <f t="shared" si="33"/>
        <v>0</v>
      </c>
      <c r="CT414" s="20">
        <f t="shared" si="34"/>
        <v>0</v>
      </c>
      <c r="CU414" s="20">
        <f t="shared" si="35"/>
        <v>0</v>
      </c>
      <c r="CV414" s="24">
        <f t="shared" si="36"/>
        <v>456.6</v>
      </c>
    </row>
    <row r="415" spans="1:100" x14ac:dyDescent="0.2">
      <c r="A415" s="7" t="s">
        <v>181</v>
      </c>
      <c r="B415" s="1">
        <v>29</v>
      </c>
      <c r="C415" s="2" t="s">
        <v>36</v>
      </c>
      <c r="D415" s="2" t="s">
        <v>37</v>
      </c>
      <c r="E415" s="1"/>
      <c r="F415" s="1"/>
      <c r="G415" s="1" t="s">
        <v>19</v>
      </c>
      <c r="H415" s="1">
        <v>1</v>
      </c>
      <c r="I415" s="6">
        <v>125.02</v>
      </c>
      <c r="J415" s="6">
        <v>55564</v>
      </c>
      <c r="K415" s="2">
        <v>0</v>
      </c>
      <c r="L415" s="2" t="s">
        <v>3</v>
      </c>
      <c r="M415" s="7" t="s">
        <v>0</v>
      </c>
      <c r="N415" s="7" t="s">
        <v>12</v>
      </c>
      <c r="O415" s="7" t="s">
        <v>182</v>
      </c>
      <c r="S415" s="7" t="s">
        <v>96</v>
      </c>
      <c r="V415" s="8">
        <v>120.63</v>
      </c>
      <c r="W415" s="8" t="s">
        <v>196</v>
      </c>
      <c r="X415" s="15">
        <v>44412</v>
      </c>
      <c r="Y415" s="15">
        <v>45204</v>
      </c>
      <c r="Z415" s="17" t="s">
        <v>201</v>
      </c>
      <c r="AA415" s="121">
        <v>48900</v>
      </c>
      <c r="AB415" s="7">
        <v>72</v>
      </c>
      <c r="AC415" s="7">
        <v>48</v>
      </c>
      <c r="AD415" s="15">
        <v>46635</v>
      </c>
      <c r="AE415" s="52">
        <v>456.6</v>
      </c>
      <c r="AF415" s="52"/>
      <c r="AP415" s="9"/>
      <c r="AQ415" s="9"/>
      <c r="AR415" s="9"/>
      <c r="AW415" s="7"/>
      <c r="BD415" s="7"/>
      <c r="CS415" s="9">
        <f t="shared" si="33"/>
        <v>0</v>
      </c>
      <c r="CT415" s="20">
        <f t="shared" si="34"/>
        <v>0</v>
      </c>
      <c r="CU415" s="20">
        <f t="shared" si="35"/>
        <v>0</v>
      </c>
      <c r="CV415" s="24">
        <f t="shared" si="36"/>
        <v>456.6</v>
      </c>
    </row>
    <row r="416" spans="1:100" x14ac:dyDescent="0.2">
      <c r="A416" s="7" t="s">
        <v>181</v>
      </c>
      <c r="B416" s="1">
        <v>29</v>
      </c>
      <c r="C416" s="2" t="s">
        <v>36</v>
      </c>
      <c r="D416" s="2" t="s">
        <v>37</v>
      </c>
      <c r="E416" s="1"/>
      <c r="F416" s="1"/>
      <c r="G416" s="1" t="s">
        <v>19</v>
      </c>
      <c r="H416" s="1">
        <v>1</v>
      </c>
      <c r="I416" s="6">
        <v>125.02</v>
      </c>
      <c r="J416" s="6">
        <v>55564</v>
      </c>
      <c r="K416" s="2">
        <v>0</v>
      </c>
      <c r="L416" s="2" t="s">
        <v>3</v>
      </c>
      <c r="M416" s="7" t="s">
        <v>0</v>
      </c>
      <c r="N416" s="7" t="s">
        <v>12</v>
      </c>
      <c r="O416" s="7" t="s">
        <v>182</v>
      </c>
      <c r="S416" s="7" t="s">
        <v>96</v>
      </c>
      <c r="V416" s="8">
        <v>120.63</v>
      </c>
      <c r="W416" s="8" t="s">
        <v>196</v>
      </c>
      <c r="X416" s="15">
        <v>44412</v>
      </c>
      <c r="Y416" s="15">
        <v>45204</v>
      </c>
      <c r="Z416" s="17" t="s">
        <v>201</v>
      </c>
      <c r="AA416" s="121">
        <v>48900</v>
      </c>
      <c r="AB416" s="7">
        <v>72</v>
      </c>
      <c r="AC416" s="7">
        <v>49</v>
      </c>
      <c r="AD416" s="15">
        <v>46665</v>
      </c>
      <c r="AE416" s="52">
        <v>456.6</v>
      </c>
      <c r="AF416" s="52"/>
      <c r="AP416" s="9"/>
      <c r="AQ416" s="9"/>
      <c r="AR416" s="9"/>
      <c r="AW416" s="7"/>
      <c r="BD416" s="7"/>
      <c r="CS416" s="9">
        <f t="shared" si="33"/>
        <v>0</v>
      </c>
      <c r="CT416" s="20">
        <f t="shared" si="34"/>
        <v>0</v>
      </c>
      <c r="CU416" s="20">
        <f t="shared" si="35"/>
        <v>0</v>
      </c>
      <c r="CV416" s="24">
        <f t="shared" si="36"/>
        <v>456.6</v>
      </c>
    </row>
    <row r="417" spans="1:100" x14ac:dyDescent="0.2">
      <c r="A417" s="7" t="s">
        <v>181</v>
      </c>
      <c r="B417" s="1">
        <v>29</v>
      </c>
      <c r="C417" s="2" t="s">
        <v>36</v>
      </c>
      <c r="D417" s="2" t="s">
        <v>37</v>
      </c>
      <c r="E417" s="1"/>
      <c r="F417" s="1"/>
      <c r="G417" s="1" t="s">
        <v>19</v>
      </c>
      <c r="H417" s="1">
        <v>1</v>
      </c>
      <c r="I417" s="6">
        <v>125.02</v>
      </c>
      <c r="J417" s="6">
        <v>55564</v>
      </c>
      <c r="K417" s="2">
        <v>0</v>
      </c>
      <c r="L417" s="2" t="s">
        <v>3</v>
      </c>
      <c r="M417" s="7" t="s">
        <v>0</v>
      </c>
      <c r="N417" s="7" t="s">
        <v>12</v>
      </c>
      <c r="O417" s="7" t="s">
        <v>182</v>
      </c>
      <c r="S417" s="7" t="s">
        <v>96</v>
      </c>
      <c r="V417" s="8">
        <v>120.63</v>
      </c>
      <c r="W417" s="8" t="s">
        <v>196</v>
      </c>
      <c r="X417" s="15">
        <v>44412</v>
      </c>
      <c r="Y417" s="15">
        <v>45204</v>
      </c>
      <c r="Z417" s="17" t="s">
        <v>201</v>
      </c>
      <c r="AA417" s="121">
        <v>48900</v>
      </c>
      <c r="AB417" s="7">
        <v>72</v>
      </c>
      <c r="AC417" s="7">
        <v>50</v>
      </c>
      <c r="AD417" s="15">
        <v>46696</v>
      </c>
      <c r="AE417" s="52">
        <v>456.6</v>
      </c>
      <c r="AF417" s="52"/>
      <c r="AP417" s="9"/>
      <c r="AQ417" s="9"/>
      <c r="AR417" s="9"/>
      <c r="AW417" s="7"/>
      <c r="BD417" s="7"/>
      <c r="CS417" s="9">
        <f t="shared" si="33"/>
        <v>0</v>
      </c>
      <c r="CT417" s="20">
        <f t="shared" si="34"/>
        <v>0</v>
      </c>
      <c r="CU417" s="20">
        <f t="shared" si="35"/>
        <v>0</v>
      </c>
      <c r="CV417" s="24">
        <f t="shared" si="36"/>
        <v>456.6</v>
      </c>
    </row>
    <row r="418" spans="1:100" x14ac:dyDescent="0.2">
      <c r="A418" s="7" t="s">
        <v>181</v>
      </c>
      <c r="B418" s="1">
        <v>29</v>
      </c>
      <c r="C418" s="2" t="s">
        <v>36</v>
      </c>
      <c r="D418" s="2" t="s">
        <v>37</v>
      </c>
      <c r="E418" s="1"/>
      <c r="F418" s="1"/>
      <c r="G418" s="1" t="s">
        <v>19</v>
      </c>
      <c r="H418" s="1">
        <v>1</v>
      </c>
      <c r="I418" s="6">
        <v>125.02</v>
      </c>
      <c r="J418" s="6">
        <v>55564</v>
      </c>
      <c r="K418" s="2">
        <v>0</v>
      </c>
      <c r="L418" s="2" t="s">
        <v>3</v>
      </c>
      <c r="M418" s="7" t="s">
        <v>0</v>
      </c>
      <c r="N418" s="7" t="s">
        <v>12</v>
      </c>
      <c r="O418" s="7" t="s">
        <v>182</v>
      </c>
      <c r="S418" s="7" t="s">
        <v>96</v>
      </c>
      <c r="V418" s="8">
        <v>120.63</v>
      </c>
      <c r="W418" s="8" t="s">
        <v>196</v>
      </c>
      <c r="X418" s="15">
        <v>44412</v>
      </c>
      <c r="Y418" s="15">
        <v>45204</v>
      </c>
      <c r="Z418" s="17" t="s">
        <v>201</v>
      </c>
      <c r="AA418" s="121">
        <v>48900</v>
      </c>
      <c r="AB418" s="7">
        <v>72</v>
      </c>
      <c r="AC418" s="7">
        <v>51</v>
      </c>
      <c r="AD418" s="15">
        <v>46726</v>
      </c>
      <c r="AE418" s="52">
        <v>456.6</v>
      </c>
      <c r="AF418" s="52"/>
      <c r="AP418" s="9"/>
      <c r="AQ418" s="9"/>
      <c r="AR418" s="9"/>
      <c r="AW418" s="7"/>
      <c r="BD418" s="7"/>
      <c r="CS418" s="9">
        <f t="shared" si="33"/>
        <v>0</v>
      </c>
      <c r="CT418" s="20">
        <f t="shared" si="34"/>
        <v>0</v>
      </c>
      <c r="CU418" s="20">
        <f t="shared" si="35"/>
        <v>0</v>
      </c>
      <c r="CV418" s="24">
        <f t="shared" si="36"/>
        <v>456.6</v>
      </c>
    </row>
    <row r="419" spans="1:100" x14ac:dyDescent="0.2">
      <c r="A419" s="7" t="s">
        <v>181</v>
      </c>
      <c r="B419" s="1">
        <v>29</v>
      </c>
      <c r="C419" s="2" t="s">
        <v>36</v>
      </c>
      <c r="D419" s="2" t="s">
        <v>37</v>
      </c>
      <c r="E419" s="1"/>
      <c r="F419" s="1"/>
      <c r="G419" s="1" t="s">
        <v>19</v>
      </c>
      <c r="H419" s="1">
        <v>1</v>
      </c>
      <c r="I419" s="6">
        <v>125.02</v>
      </c>
      <c r="J419" s="6">
        <v>55564</v>
      </c>
      <c r="K419" s="2">
        <v>0</v>
      </c>
      <c r="L419" s="2" t="s">
        <v>3</v>
      </c>
      <c r="M419" s="7" t="s">
        <v>0</v>
      </c>
      <c r="N419" s="7" t="s">
        <v>12</v>
      </c>
      <c r="O419" s="7" t="s">
        <v>182</v>
      </c>
      <c r="S419" s="7" t="s">
        <v>96</v>
      </c>
      <c r="V419" s="8">
        <v>120.63</v>
      </c>
      <c r="W419" s="8" t="s">
        <v>196</v>
      </c>
      <c r="X419" s="15">
        <v>44412</v>
      </c>
      <c r="Y419" s="15">
        <v>45204</v>
      </c>
      <c r="Z419" s="17" t="s">
        <v>201</v>
      </c>
      <c r="AA419" s="121">
        <v>48900</v>
      </c>
      <c r="AB419" s="7">
        <v>72</v>
      </c>
      <c r="AC419" s="7">
        <v>52</v>
      </c>
      <c r="AD419" s="15">
        <v>46757</v>
      </c>
      <c r="AE419" s="52">
        <v>456.6</v>
      </c>
      <c r="AF419" s="52"/>
      <c r="AP419" s="9"/>
      <c r="AQ419" s="9"/>
      <c r="AR419" s="9"/>
      <c r="AW419" s="7"/>
      <c r="BD419" s="7"/>
      <c r="CS419" s="9">
        <f t="shared" si="33"/>
        <v>0</v>
      </c>
      <c r="CT419" s="20">
        <f t="shared" si="34"/>
        <v>0</v>
      </c>
      <c r="CU419" s="20">
        <f t="shared" si="35"/>
        <v>0</v>
      </c>
      <c r="CV419" s="24">
        <f t="shared" si="36"/>
        <v>456.6</v>
      </c>
    </row>
    <row r="420" spans="1:100" x14ac:dyDescent="0.2">
      <c r="A420" s="7" t="s">
        <v>181</v>
      </c>
      <c r="B420" s="1">
        <v>29</v>
      </c>
      <c r="C420" s="2" t="s">
        <v>36</v>
      </c>
      <c r="D420" s="2" t="s">
        <v>37</v>
      </c>
      <c r="E420" s="1"/>
      <c r="F420" s="1"/>
      <c r="G420" s="1" t="s">
        <v>19</v>
      </c>
      <c r="H420" s="1">
        <v>1</v>
      </c>
      <c r="I420" s="6">
        <v>125.02</v>
      </c>
      <c r="J420" s="6">
        <v>55564</v>
      </c>
      <c r="K420" s="2">
        <v>0</v>
      </c>
      <c r="L420" s="2" t="s">
        <v>3</v>
      </c>
      <c r="M420" s="7" t="s">
        <v>0</v>
      </c>
      <c r="N420" s="7" t="s">
        <v>12</v>
      </c>
      <c r="O420" s="7" t="s">
        <v>182</v>
      </c>
      <c r="S420" s="7" t="s">
        <v>96</v>
      </c>
      <c r="V420" s="8">
        <v>120.63</v>
      </c>
      <c r="W420" s="8" t="s">
        <v>196</v>
      </c>
      <c r="X420" s="15">
        <v>44412</v>
      </c>
      <c r="Y420" s="15">
        <v>45204</v>
      </c>
      <c r="Z420" s="17" t="s">
        <v>201</v>
      </c>
      <c r="AA420" s="121">
        <v>48900</v>
      </c>
      <c r="AB420" s="7">
        <v>72</v>
      </c>
      <c r="AC420" s="7">
        <v>53</v>
      </c>
      <c r="AD420" s="15">
        <v>46788</v>
      </c>
      <c r="AE420" s="52">
        <v>456.6</v>
      </c>
      <c r="AF420" s="52"/>
      <c r="AP420" s="9"/>
      <c r="AQ420" s="9"/>
      <c r="AR420" s="9"/>
      <c r="AW420" s="7"/>
      <c r="BD420" s="7"/>
      <c r="CS420" s="9">
        <f t="shared" si="33"/>
        <v>0</v>
      </c>
      <c r="CT420" s="20">
        <f t="shared" si="34"/>
        <v>0</v>
      </c>
      <c r="CU420" s="20">
        <f t="shared" si="35"/>
        <v>0</v>
      </c>
      <c r="CV420" s="24">
        <f t="shared" si="36"/>
        <v>456.6</v>
      </c>
    </row>
    <row r="421" spans="1:100" x14ac:dyDescent="0.2">
      <c r="A421" s="7" t="s">
        <v>181</v>
      </c>
      <c r="B421" s="1">
        <v>29</v>
      </c>
      <c r="C421" s="2" t="s">
        <v>36</v>
      </c>
      <c r="D421" s="2" t="s">
        <v>37</v>
      </c>
      <c r="E421" s="1"/>
      <c r="F421" s="1"/>
      <c r="G421" s="1" t="s">
        <v>19</v>
      </c>
      <c r="H421" s="1">
        <v>1</v>
      </c>
      <c r="I421" s="6">
        <v>125.02</v>
      </c>
      <c r="J421" s="6">
        <v>55564</v>
      </c>
      <c r="K421" s="2">
        <v>0</v>
      </c>
      <c r="L421" s="2" t="s">
        <v>3</v>
      </c>
      <c r="M421" s="7" t="s">
        <v>0</v>
      </c>
      <c r="N421" s="7" t="s">
        <v>12</v>
      </c>
      <c r="O421" s="7" t="s">
        <v>182</v>
      </c>
      <c r="S421" s="7" t="s">
        <v>96</v>
      </c>
      <c r="V421" s="8">
        <v>120.63</v>
      </c>
      <c r="W421" s="8" t="s">
        <v>196</v>
      </c>
      <c r="X421" s="15">
        <v>44412</v>
      </c>
      <c r="Y421" s="15">
        <v>45204</v>
      </c>
      <c r="Z421" s="17" t="s">
        <v>201</v>
      </c>
      <c r="AA421" s="121">
        <v>48900</v>
      </c>
      <c r="AB421" s="7">
        <v>72</v>
      </c>
      <c r="AC421" s="7">
        <v>54</v>
      </c>
      <c r="AD421" s="15">
        <v>46817</v>
      </c>
      <c r="AE421" s="52">
        <v>456.6</v>
      </c>
      <c r="AF421" s="52"/>
      <c r="AP421" s="9"/>
      <c r="AQ421" s="9"/>
      <c r="AR421" s="9"/>
      <c r="AW421" s="7"/>
      <c r="BD421" s="7"/>
      <c r="CS421" s="9">
        <f t="shared" si="33"/>
        <v>0</v>
      </c>
      <c r="CT421" s="20">
        <f t="shared" si="34"/>
        <v>0</v>
      </c>
      <c r="CU421" s="20">
        <f t="shared" si="35"/>
        <v>0</v>
      </c>
      <c r="CV421" s="24">
        <f t="shared" si="36"/>
        <v>456.6</v>
      </c>
    </row>
    <row r="422" spans="1:100" x14ac:dyDescent="0.2">
      <c r="A422" s="7" t="s">
        <v>181</v>
      </c>
      <c r="B422" s="1">
        <v>29</v>
      </c>
      <c r="C422" s="2" t="s">
        <v>36</v>
      </c>
      <c r="D422" s="2" t="s">
        <v>37</v>
      </c>
      <c r="E422" s="1"/>
      <c r="F422" s="1"/>
      <c r="G422" s="1" t="s">
        <v>19</v>
      </c>
      <c r="H422" s="1">
        <v>1</v>
      </c>
      <c r="I422" s="6">
        <v>125.02</v>
      </c>
      <c r="J422" s="6">
        <v>55564</v>
      </c>
      <c r="K422" s="2">
        <v>0</v>
      </c>
      <c r="L422" s="2" t="s">
        <v>3</v>
      </c>
      <c r="M422" s="7" t="s">
        <v>0</v>
      </c>
      <c r="N422" s="7" t="s">
        <v>12</v>
      </c>
      <c r="O422" s="7" t="s">
        <v>182</v>
      </c>
      <c r="S422" s="7" t="s">
        <v>96</v>
      </c>
      <c r="V422" s="8">
        <v>120.63</v>
      </c>
      <c r="W422" s="8" t="s">
        <v>196</v>
      </c>
      <c r="X422" s="15">
        <v>44412</v>
      </c>
      <c r="Y422" s="15">
        <v>45204</v>
      </c>
      <c r="Z422" s="17" t="s">
        <v>201</v>
      </c>
      <c r="AA422" s="121">
        <v>48900</v>
      </c>
      <c r="AB422" s="7">
        <v>72</v>
      </c>
      <c r="AC422" s="7">
        <v>55</v>
      </c>
      <c r="AD422" s="15">
        <v>46848</v>
      </c>
      <c r="AE422" s="52">
        <v>456.6</v>
      </c>
      <c r="AF422" s="52"/>
      <c r="AP422" s="9"/>
      <c r="AQ422" s="9"/>
      <c r="AR422" s="9"/>
      <c r="AW422" s="7"/>
      <c r="BD422" s="7"/>
      <c r="CS422" s="9">
        <f t="shared" si="33"/>
        <v>0</v>
      </c>
      <c r="CT422" s="20">
        <f t="shared" si="34"/>
        <v>0</v>
      </c>
      <c r="CU422" s="20">
        <f t="shared" si="35"/>
        <v>0</v>
      </c>
      <c r="CV422" s="24">
        <f t="shared" si="36"/>
        <v>456.6</v>
      </c>
    </row>
    <row r="423" spans="1:100" x14ac:dyDescent="0.2">
      <c r="A423" s="7" t="s">
        <v>181</v>
      </c>
      <c r="B423" s="1">
        <v>29</v>
      </c>
      <c r="C423" s="2" t="s">
        <v>36</v>
      </c>
      <c r="D423" s="2" t="s">
        <v>37</v>
      </c>
      <c r="E423" s="1"/>
      <c r="F423" s="1"/>
      <c r="G423" s="1" t="s">
        <v>19</v>
      </c>
      <c r="H423" s="1">
        <v>1</v>
      </c>
      <c r="I423" s="6">
        <v>125.02</v>
      </c>
      <c r="J423" s="6">
        <v>55564</v>
      </c>
      <c r="K423" s="2">
        <v>0</v>
      </c>
      <c r="L423" s="2" t="s">
        <v>3</v>
      </c>
      <c r="M423" s="7" t="s">
        <v>0</v>
      </c>
      <c r="N423" s="7" t="s">
        <v>12</v>
      </c>
      <c r="O423" s="7" t="s">
        <v>182</v>
      </c>
      <c r="S423" s="7" t="s">
        <v>96</v>
      </c>
      <c r="V423" s="8">
        <v>120.63</v>
      </c>
      <c r="W423" s="8" t="s">
        <v>196</v>
      </c>
      <c r="X423" s="15">
        <v>44412</v>
      </c>
      <c r="Y423" s="15">
        <v>45204</v>
      </c>
      <c r="Z423" s="17" t="s">
        <v>201</v>
      </c>
      <c r="AA423" s="121">
        <v>48900</v>
      </c>
      <c r="AB423" s="7">
        <v>72</v>
      </c>
      <c r="AC423" s="7">
        <v>56</v>
      </c>
      <c r="AD423" s="15">
        <v>46878</v>
      </c>
      <c r="AE423" s="52">
        <v>456.6</v>
      </c>
      <c r="AF423" s="52"/>
      <c r="AP423" s="9"/>
      <c r="AQ423" s="9"/>
      <c r="AR423" s="9"/>
      <c r="AW423" s="7"/>
      <c r="BD423" s="7"/>
      <c r="CS423" s="9">
        <f t="shared" si="33"/>
        <v>0</v>
      </c>
      <c r="CT423" s="20">
        <f t="shared" si="34"/>
        <v>0</v>
      </c>
      <c r="CU423" s="20">
        <f t="shared" si="35"/>
        <v>0</v>
      </c>
      <c r="CV423" s="24">
        <f t="shared" si="36"/>
        <v>456.6</v>
      </c>
    </row>
    <row r="424" spans="1:100" x14ac:dyDescent="0.2">
      <c r="A424" s="7" t="s">
        <v>181</v>
      </c>
      <c r="B424" s="1">
        <v>29</v>
      </c>
      <c r="C424" s="2" t="s">
        <v>36</v>
      </c>
      <c r="D424" s="2" t="s">
        <v>37</v>
      </c>
      <c r="E424" s="1"/>
      <c r="F424" s="1"/>
      <c r="G424" s="1" t="s">
        <v>19</v>
      </c>
      <c r="H424" s="1">
        <v>1</v>
      </c>
      <c r="I424" s="6">
        <v>125.02</v>
      </c>
      <c r="J424" s="6">
        <v>55564</v>
      </c>
      <c r="K424" s="2">
        <v>0</v>
      </c>
      <c r="L424" s="2" t="s">
        <v>3</v>
      </c>
      <c r="M424" s="7" t="s">
        <v>0</v>
      </c>
      <c r="N424" s="7" t="s">
        <v>12</v>
      </c>
      <c r="O424" s="7" t="s">
        <v>182</v>
      </c>
      <c r="S424" s="7" t="s">
        <v>96</v>
      </c>
      <c r="V424" s="8">
        <v>120.63</v>
      </c>
      <c r="W424" s="8" t="s">
        <v>196</v>
      </c>
      <c r="X424" s="15">
        <v>44412</v>
      </c>
      <c r="Y424" s="15">
        <v>45204</v>
      </c>
      <c r="Z424" s="17" t="s">
        <v>201</v>
      </c>
      <c r="AA424" s="121">
        <v>48900</v>
      </c>
      <c r="AB424" s="7">
        <v>72</v>
      </c>
      <c r="AC424" s="7">
        <v>57</v>
      </c>
      <c r="AD424" s="15">
        <v>46909</v>
      </c>
      <c r="AE424" s="52">
        <v>456.6</v>
      </c>
      <c r="AF424" s="52"/>
      <c r="AP424" s="9"/>
      <c r="AQ424" s="9"/>
      <c r="AR424" s="9"/>
      <c r="AW424" s="7"/>
      <c r="BD424" s="7"/>
      <c r="CS424" s="9">
        <f t="shared" si="33"/>
        <v>0</v>
      </c>
      <c r="CT424" s="20">
        <f t="shared" si="34"/>
        <v>0</v>
      </c>
      <c r="CU424" s="20">
        <f t="shared" si="35"/>
        <v>0</v>
      </c>
      <c r="CV424" s="24">
        <f t="shared" si="36"/>
        <v>456.6</v>
      </c>
    </row>
    <row r="425" spans="1:100" x14ac:dyDescent="0.2">
      <c r="A425" s="7" t="s">
        <v>181</v>
      </c>
      <c r="B425" s="1">
        <v>29</v>
      </c>
      <c r="C425" s="2" t="s">
        <v>36</v>
      </c>
      <c r="D425" s="2" t="s">
        <v>37</v>
      </c>
      <c r="E425" s="1"/>
      <c r="F425" s="1"/>
      <c r="G425" s="1" t="s">
        <v>19</v>
      </c>
      <c r="H425" s="1">
        <v>1</v>
      </c>
      <c r="I425" s="6">
        <v>125.02</v>
      </c>
      <c r="J425" s="6">
        <v>55564</v>
      </c>
      <c r="K425" s="2">
        <v>0</v>
      </c>
      <c r="L425" s="2" t="s">
        <v>3</v>
      </c>
      <c r="M425" s="7" t="s">
        <v>0</v>
      </c>
      <c r="N425" s="7" t="s">
        <v>12</v>
      </c>
      <c r="O425" s="7" t="s">
        <v>182</v>
      </c>
      <c r="S425" s="7" t="s">
        <v>96</v>
      </c>
      <c r="V425" s="8">
        <v>120.63</v>
      </c>
      <c r="W425" s="8" t="s">
        <v>196</v>
      </c>
      <c r="X425" s="15">
        <v>44412</v>
      </c>
      <c r="Y425" s="15">
        <v>45204</v>
      </c>
      <c r="Z425" s="17" t="s">
        <v>201</v>
      </c>
      <c r="AA425" s="121">
        <v>48900</v>
      </c>
      <c r="AB425" s="7">
        <v>72</v>
      </c>
      <c r="AC425" s="7">
        <v>58</v>
      </c>
      <c r="AD425" s="15">
        <v>46939</v>
      </c>
      <c r="AE425" s="52">
        <v>456.6</v>
      </c>
      <c r="AF425" s="52"/>
      <c r="AP425" s="9"/>
      <c r="AQ425" s="9"/>
      <c r="AR425" s="9"/>
      <c r="AW425" s="7"/>
      <c r="BD425" s="7"/>
      <c r="CS425" s="9">
        <f t="shared" si="33"/>
        <v>0</v>
      </c>
      <c r="CT425" s="20">
        <f t="shared" si="34"/>
        <v>0</v>
      </c>
      <c r="CU425" s="20">
        <f t="shared" si="35"/>
        <v>0</v>
      </c>
      <c r="CV425" s="24">
        <f t="shared" si="36"/>
        <v>456.6</v>
      </c>
    </row>
    <row r="426" spans="1:100" x14ac:dyDescent="0.2">
      <c r="A426" s="7" t="s">
        <v>181</v>
      </c>
      <c r="B426" s="1">
        <v>29</v>
      </c>
      <c r="C426" s="2" t="s">
        <v>36</v>
      </c>
      <c r="D426" s="2" t="s">
        <v>37</v>
      </c>
      <c r="E426" s="1"/>
      <c r="F426" s="1"/>
      <c r="G426" s="1" t="s">
        <v>19</v>
      </c>
      <c r="H426" s="1">
        <v>1</v>
      </c>
      <c r="I426" s="6">
        <v>125.02</v>
      </c>
      <c r="J426" s="6">
        <v>55564</v>
      </c>
      <c r="K426" s="2">
        <v>0</v>
      </c>
      <c r="L426" s="2" t="s">
        <v>3</v>
      </c>
      <c r="M426" s="7" t="s">
        <v>0</v>
      </c>
      <c r="N426" s="7" t="s">
        <v>12</v>
      </c>
      <c r="O426" s="7" t="s">
        <v>182</v>
      </c>
      <c r="S426" s="7" t="s">
        <v>96</v>
      </c>
      <c r="V426" s="8">
        <v>120.63</v>
      </c>
      <c r="W426" s="8" t="s">
        <v>196</v>
      </c>
      <c r="X426" s="15">
        <v>44412</v>
      </c>
      <c r="Y426" s="15">
        <v>45204</v>
      </c>
      <c r="Z426" s="17" t="s">
        <v>201</v>
      </c>
      <c r="AA426" s="121">
        <v>48900</v>
      </c>
      <c r="AB426" s="7">
        <v>72</v>
      </c>
      <c r="AC426" s="7">
        <v>59</v>
      </c>
      <c r="AD426" s="15">
        <v>46970</v>
      </c>
      <c r="AE426" s="52">
        <v>456.6</v>
      </c>
      <c r="AF426" s="52"/>
      <c r="AP426" s="9"/>
      <c r="AQ426" s="9"/>
      <c r="AR426" s="9"/>
      <c r="AW426" s="7"/>
      <c r="BD426" s="7"/>
      <c r="CS426" s="9">
        <f t="shared" si="33"/>
        <v>0</v>
      </c>
      <c r="CT426" s="20">
        <f t="shared" si="34"/>
        <v>0</v>
      </c>
      <c r="CU426" s="20">
        <f t="shared" si="35"/>
        <v>0</v>
      </c>
      <c r="CV426" s="24">
        <f t="shared" si="36"/>
        <v>456.6</v>
      </c>
    </row>
    <row r="427" spans="1:100" x14ac:dyDescent="0.2">
      <c r="A427" s="7" t="s">
        <v>181</v>
      </c>
      <c r="B427" s="1">
        <v>29</v>
      </c>
      <c r="C427" s="2" t="s">
        <v>36</v>
      </c>
      <c r="D427" s="2" t="s">
        <v>37</v>
      </c>
      <c r="E427" s="1"/>
      <c r="F427" s="1"/>
      <c r="G427" s="1" t="s">
        <v>19</v>
      </c>
      <c r="H427" s="1">
        <v>1</v>
      </c>
      <c r="I427" s="6">
        <v>125.02</v>
      </c>
      <c r="J427" s="6">
        <v>55564</v>
      </c>
      <c r="K427" s="2">
        <v>0</v>
      </c>
      <c r="L427" s="2" t="s">
        <v>3</v>
      </c>
      <c r="M427" s="7" t="s">
        <v>0</v>
      </c>
      <c r="N427" s="7" t="s">
        <v>12</v>
      </c>
      <c r="O427" s="7" t="s">
        <v>182</v>
      </c>
      <c r="S427" s="7" t="s">
        <v>96</v>
      </c>
      <c r="V427" s="8">
        <v>120.63</v>
      </c>
      <c r="W427" s="8" t="s">
        <v>196</v>
      </c>
      <c r="X427" s="15">
        <v>44412</v>
      </c>
      <c r="Y427" s="15">
        <v>45204</v>
      </c>
      <c r="Z427" s="17" t="s">
        <v>201</v>
      </c>
      <c r="AA427" s="121">
        <v>48900</v>
      </c>
      <c r="AB427" s="7">
        <v>72</v>
      </c>
      <c r="AC427" s="7">
        <v>60</v>
      </c>
      <c r="AD427" s="15">
        <v>47001</v>
      </c>
      <c r="AE427" s="52">
        <v>456.6</v>
      </c>
      <c r="AF427" s="52"/>
      <c r="AP427" s="9"/>
      <c r="AQ427" s="9"/>
      <c r="AR427" s="9"/>
      <c r="AW427" s="7"/>
      <c r="BD427" s="7"/>
      <c r="CS427" s="9">
        <f t="shared" si="33"/>
        <v>0</v>
      </c>
      <c r="CT427" s="20">
        <f t="shared" si="34"/>
        <v>0</v>
      </c>
      <c r="CU427" s="20">
        <f t="shared" si="35"/>
        <v>0</v>
      </c>
      <c r="CV427" s="24">
        <f t="shared" si="36"/>
        <v>456.6</v>
      </c>
    </row>
    <row r="428" spans="1:100" x14ac:dyDescent="0.2">
      <c r="A428" s="7" t="s">
        <v>181</v>
      </c>
      <c r="B428" s="1">
        <v>29</v>
      </c>
      <c r="C428" s="2" t="s">
        <v>36</v>
      </c>
      <c r="D428" s="2" t="s">
        <v>37</v>
      </c>
      <c r="E428" s="1"/>
      <c r="F428" s="1"/>
      <c r="G428" s="1" t="s">
        <v>19</v>
      </c>
      <c r="H428" s="1">
        <v>1</v>
      </c>
      <c r="I428" s="6">
        <v>125.02</v>
      </c>
      <c r="J428" s="6">
        <v>55564</v>
      </c>
      <c r="K428" s="2">
        <v>0</v>
      </c>
      <c r="L428" s="2" t="s">
        <v>3</v>
      </c>
      <c r="M428" s="7" t="s">
        <v>0</v>
      </c>
      <c r="N428" s="7" t="s">
        <v>12</v>
      </c>
      <c r="O428" s="7" t="s">
        <v>182</v>
      </c>
      <c r="S428" s="7" t="s">
        <v>96</v>
      </c>
      <c r="V428" s="8">
        <v>120.63</v>
      </c>
      <c r="W428" s="8" t="s">
        <v>196</v>
      </c>
      <c r="X428" s="15">
        <v>44412</v>
      </c>
      <c r="Y428" s="15">
        <v>45204</v>
      </c>
      <c r="Z428" s="17" t="s">
        <v>201</v>
      </c>
      <c r="AA428" s="121">
        <v>48900</v>
      </c>
      <c r="AB428" s="7">
        <v>72</v>
      </c>
      <c r="AC428" s="7">
        <v>61</v>
      </c>
      <c r="AD428" s="15">
        <v>47031</v>
      </c>
      <c r="AE428" s="52">
        <v>456.6</v>
      </c>
      <c r="AF428" s="52"/>
      <c r="AP428" s="9"/>
      <c r="AQ428" s="9"/>
      <c r="AR428" s="9"/>
      <c r="AW428" s="7"/>
      <c r="BD428" s="7"/>
      <c r="CS428" s="9">
        <f t="shared" si="33"/>
        <v>0</v>
      </c>
      <c r="CT428" s="20">
        <f t="shared" si="34"/>
        <v>0</v>
      </c>
      <c r="CU428" s="20">
        <f t="shared" si="35"/>
        <v>0</v>
      </c>
      <c r="CV428" s="24">
        <f t="shared" si="36"/>
        <v>456.6</v>
      </c>
    </row>
    <row r="429" spans="1:100" x14ac:dyDescent="0.2">
      <c r="A429" s="7" t="s">
        <v>181</v>
      </c>
      <c r="B429" s="1">
        <v>29</v>
      </c>
      <c r="C429" s="2" t="s">
        <v>36</v>
      </c>
      <c r="D429" s="2" t="s">
        <v>37</v>
      </c>
      <c r="E429" s="1"/>
      <c r="F429" s="1"/>
      <c r="G429" s="1" t="s">
        <v>19</v>
      </c>
      <c r="H429" s="1">
        <v>1</v>
      </c>
      <c r="I429" s="6">
        <v>125.02</v>
      </c>
      <c r="J429" s="6">
        <v>55564</v>
      </c>
      <c r="K429" s="2">
        <v>0</v>
      </c>
      <c r="L429" s="2" t="s">
        <v>3</v>
      </c>
      <c r="M429" s="7" t="s">
        <v>0</v>
      </c>
      <c r="N429" s="7" t="s">
        <v>12</v>
      </c>
      <c r="O429" s="7" t="s">
        <v>182</v>
      </c>
      <c r="S429" s="7" t="s">
        <v>96</v>
      </c>
      <c r="V429" s="8">
        <v>120.63</v>
      </c>
      <c r="W429" s="8" t="s">
        <v>196</v>
      </c>
      <c r="X429" s="15">
        <v>44412</v>
      </c>
      <c r="Y429" s="15">
        <v>45204</v>
      </c>
      <c r="Z429" s="17" t="s">
        <v>201</v>
      </c>
      <c r="AA429" s="121">
        <v>48900</v>
      </c>
      <c r="AB429" s="7">
        <v>72</v>
      </c>
      <c r="AC429" s="7">
        <v>62</v>
      </c>
      <c r="AD429" s="15">
        <v>47062</v>
      </c>
      <c r="AE429" s="52">
        <v>456.6</v>
      </c>
      <c r="AF429" s="52"/>
      <c r="AP429" s="9"/>
      <c r="AQ429" s="9"/>
      <c r="AR429" s="9"/>
      <c r="AW429" s="7"/>
      <c r="BD429" s="7"/>
      <c r="CS429" s="9">
        <f t="shared" si="33"/>
        <v>0</v>
      </c>
      <c r="CT429" s="20">
        <f t="shared" si="34"/>
        <v>0</v>
      </c>
      <c r="CU429" s="20">
        <f t="shared" si="35"/>
        <v>0</v>
      </c>
      <c r="CV429" s="24">
        <f t="shared" si="36"/>
        <v>456.6</v>
      </c>
    </row>
    <row r="430" spans="1:100" x14ac:dyDescent="0.2">
      <c r="A430" s="7" t="s">
        <v>181</v>
      </c>
      <c r="B430" s="1">
        <v>29</v>
      </c>
      <c r="C430" s="2" t="s">
        <v>36</v>
      </c>
      <c r="D430" s="2" t="s">
        <v>37</v>
      </c>
      <c r="E430" s="1"/>
      <c r="F430" s="1"/>
      <c r="G430" s="1" t="s">
        <v>19</v>
      </c>
      <c r="H430" s="1">
        <v>1</v>
      </c>
      <c r="I430" s="6">
        <v>125.02</v>
      </c>
      <c r="J430" s="6">
        <v>55564</v>
      </c>
      <c r="K430" s="2">
        <v>0</v>
      </c>
      <c r="L430" s="2" t="s">
        <v>3</v>
      </c>
      <c r="M430" s="7" t="s">
        <v>0</v>
      </c>
      <c r="N430" s="7" t="s">
        <v>12</v>
      </c>
      <c r="O430" s="7" t="s">
        <v>182</v>
      </c>
      <c r="S430" s="7" t="s">
        <v>96</v>
      </c>
      <c r="V430" s="8">
        <v>120.63</v>
      </c>
      <c r="W430" s="8" t="s">
        <v>196</v>
      </c>
      <c r="X430" s="15">
        <v>44412</v>
      </c>
      <c r="Y430" s="15">
        <v>45204</v>
      </c>
      <c r="Z430" s="17" t="s">
        <v>201</v>
      </c>
      <c r="AA430" s="121">
        <v>48900</v>
      </c>
      <c r="AB430" s="7">
        <v>72</v>
      </c>
      <c r="AC430" s="7">
        <v>63</v>
      </c>
      <c r="AD430" s="15">
        <v>47092</v>
      </c>
      <c r="AE430" s="52">
        <v>456.6</v>
      </c>
      <c r="AF430" s="52"/>
      <c r="AP430" s="9"/>
      <c r="AQ430" s="9"/>
      <c r="AR430" s="9"/>
      <c r="AW430" s="7"/>
      <c r="BD430" s="7"/>
      <c r="CS430" s="9">
        <f t="shared" si="33"/>
        <v>0</v>
      </c>
      <c r="CT430" s="20">
        <f t="shared" si="34"/>
        <v>0</v>
      </c>
      <c r="CU430" s="20">
        <f t="shared" si="35"/>
        <v>0</v>
      </c>
      <c r="CV430" s="24">
        <f t="shared" si="36"/>
        <v>456.6</v>
      </c>
    </row>
    <row r="431" spans="1:100" x14ac:dyDescent="0.2">
      <c r="A431" s="7" t="s">
        <v>181</v>
      </c>
      <c r="B431" s="1">
        <v>29</v>
      </c>
      <c r="C431" s="2" t="s">
        <v>36</v>
      </c>
      <c r="D431" s="2" t="s">
        <v>37</v>
      </c>
      <c r="E431" s="1"/>
      <c r="F431" s="1"/>
      <c r="G431" s="1" t="s">
        <v>19</v>
      </c>
      <c r="H431" s="1">
        <v>1</v>
      </c>
      <c r="I431" s="6">
        <v>125.02</v>
      </c>
      <c r="J431" s="6">
        <v>55564</v>
      </c>
      <c r="K431" s="2">
        <v>0</v>
      </c>
      <c r="L431" s="2" t="s">
        <v>3</v>
      </c>
      <c r="M431" s="7" t="s">
        <v>0</v>
      </c>
      <c r="N431" s="7" t="s">
        <v>12</v>
      </c>
      <c r="O431" s="7" t="s">
        <v>182</v>
      </c>
      <c r="S431" s="7" t="s">
        <v>96</v>
      </c>
      <c r="V431" s="8">
        <v>120.63</v>
      </c>
      <c r="W431" s="8" t="s">
        <v>196</v>
      </c>
      <c r="X431" s="15">
        <v>44412</v>
      </c>
      <c r="Y431" s="15">
        <v>45204</v>
      </c>
      <c r="Z431" s="17" t="s">
        <v>201</v>
      </c>
      <c r="AA431" s="121">
        <v>48900</v>
      </c>
      <c r="AB431" s="7">
        <v>72</v>
      </c>
      <c r="AC431" s="7">
        <v>64</v>
      </c>
      <c r="AD431" s="15">
        <v>47123</v>
      </c>
      <c r="AE431" s="52">
        <v>456.6</v>
      </c>
      <c r="AF431" s="52"/>
      <c r="AP431" s="9"/>
      <c r="AQ431" s="9"/>
      <c r="AR431" s="9"/>
      <c r="AW431" s="7"/>
      <c r="BD431" s="7"/>
      <c r="CS431" s="9">
        <f t="shared" si="33"/>
        <v>0</v>
      </c>
      <c r="CT431" s="20">
        <f t="shared" si="34"/>
        <v>0</v>
      </c>
      <c r="CU431" s="20">
        <f t="shared" si="35"/>
        <v>0</v>
      </c>
      <c r="CV431" s="24">
        <f t="shared" si="36"/>
        <v>456.6</v>
      </c>
    </row>
    <row r="432" spans="1:100" x14ac:dyDescent="0.2">
      <c r="A432" s="7" t="s">
        <v>181</v>
      </c>
      <c r="B432" s="1">
        <v>29</v>
      </c>
      <c r="C432" s="2" t="s">
        <v>36</v>
      </c>
      <c r="D432" s="2" t="s">
        <v>37</v>
      </c>
      <c r="E432" s="1"/>
      <c r="F432" s="1"/>
      <c r="G432" s="1" t="s">
        <v>19</v>
      </c>
      <c r="H432" s="1">
        <v>1</v>
      </c>
      <c r="I432" s="6">
        <v>125.02</v>
      </c>
      <c r="J432" s="6">
        <v>55564</v>
      </c>
      <c r="K432" s="2">
        <v>0</v>
      </c>
      <c r="L432" s="2" t="s">
        <v>3</v>
      </c>
      <c r="M432" s="7" t="s">
        <v>0</v>
      </c>
      <c r="N432" s="7" t="s">
        <v>12</v>
      </c>
      <c r="O432" s="7" t="s">
        <v>182</v>
      </c>
      <c r="S432" s="7" t="s">
        <v>96</v>
      </c>
      <c r="V432" s="8">
        <v>120.63</v>
      </c>
      <c r="W432" s="8" t="s">
        <v>196</v>
      </c>
      <c r="X432" s="15">
        <v>44412</v>
      </c>
      <c r="Y432" s="15">
        <v>45204</v>
      </c>
      <c r="Z432" s="17" t="s">
        <v>201</v>
      </c>
      <c r="AA432" s="121">
        <v>48900</v>
      </c>
      <c r="AB432" s="7">
        <v>72</v>
      </c>
      <c r="AC432" s="7">
        <v>65</v>
      </c>
      <c r="AD432" s="15">
        <v>47154</v>
      </c>
      <c r="AE432" s="52">
        <v>456.6</v>
      </c>
      <c r="AF432" s="52"/>
      <c r="AP432" s="9"/>
      <c r="AQ432" s="9"/>
      <c r="AR432" s="9"/>
      <c r="AW432" s="7"/>
      <c r="BD432" s="7"/>
      <c r="CS432" s="9">
        <f t="shared" si="33"/>
        <v>0</v>
      </c>
      <c r="CT432" s="20">
        <f t="shared" si="34"/>
        <v>0</v>
      </c>
      <c r="CU432" s="20">
        <f t="shared" si="35"/>
        <v>0</v>
      </c>
      <c r="CV432" s="24">
        <f t="shared" si="36"/>
        <v>456.6</v>
      </c>
    </row>
    <row r="433" spans="1:101" x14ac:dyDescent="0.2">
      <c r="A433" s="7" t="s">
        <v>181</v>
      </c>
      <c r="B433" s="1">
        <v>29</v>
      </c>
      <c r="C433" s="2" t="s">
        <v>36</v>
      </c>
      <c r="D433" s="2" t="s">
        <v>37</v>
      </c>
      <c r="E433" s="1"/>
      <c r="F433" s="1"/>
      <c r="G433" s="1" t="s">
        <v>19</v>
      </c>
      <c r="H433" s="1">
        <v>1</v>
      </c>
      <c r="I433" s="6">
        <v>125.02</v>
      </c>
      <c r="J433" s="6">
        <v>55564</v>
      </c>
      <c r="K433" s="2">
        <v>0</v>
      </c>
      <c r="L433" s="2" t="s">
        <v>3</v>
      </c>
      <c r="M433" s="7" t="s">
        <v>0</v>
      </c>
      <c r="N433" s="7" t="s">
        <v>12</v>
      </c>
      <c r="O433" s="7" t="s">
        <v>182</v>
      </c>
      <c r="S433" s="7" t="s">
        <v>96</v>
      </c>
      <c r="V433" s="8">
        <v>120.63</v>
      </c>
      <c r="W433" s="8" t="s">
        <v>196</v>
      </c>
      <c r="X433" s="15">
        <v>44412</v>
      </c>
      <c r="Y433" s="15">
        <v>45204</v>
      </c>
      <c r="Z433" s="17" t="s">
        <v>201</v>
      </c>
      <c r="AA433" s="121">
        <v>48900</v>
      </c>
      <c r="AB433" s="7">
        <v>72</v>
      </c>
      <c r="AC433" s="7">
        <v>66</v>
      </c>
      <c r="AD433" s="15">
        <v>47182</v>
      </c>
      <c r="AE433" s="52">
        <v>456.6</v>
      </c>
      <c r="AF433" s="52"/>
      <c r="AP433" s="9"/>
      <c r="AQ433" s="9"/>
      <c r="AR433" s="9"/>
      <c r="AW433" s="7"/>
      <c r="BD433" s="7"/>
      <c r="CS433" s="9">
        <f t="shared" si="33"/>
        <v>0</v>
      </c>
      <c r="CT433" s="20">
        <f t="shared" si="34"/>
        <v>0</v>
      </c>
      <c r="CU433" s="20">
        <f t="shared" si="35"/>
        <v>0</v>
      </c>
      <c r="CV433" s="24">
        <f t="shared" si="36"/>
        <v>456.6</v>
      </c>
    </row>
    <row r="434" spans="1:101" x14ac:dyDescent="0.2">
      <c r="A434" s="7" t="s">
        <v>181</v>
      </c>
      <c r="B434" s="1">
        <v>29</v>
      </c>
      <c r="C434" s="2" t="s">
        <v>36</v>
      </c>
      <c r="D434" s="2" t="s">
        <v>37</v>
      </c>
      <c r="E434" s="1"/>
      <c r="F434" s="1"/>
      <c r="G434" s="1" t="s">
        <v>19</v>
      </c>
      <c r="H434" s="1">
        <v>1</v>
      </c>
      <c r="I434" s="6">
        <v>125.02</v>
      </c>
      <c r="J434" s="6">
        <v>55564</v>
      </c>
      <c r="K434" s="2">
        <v>0</v>
      </c>
      <c r="L434" s="2" t="s">
        <v>3</v>
      </c>
      <c r="M434" s="7" t="s">
        <v>0</v>
      </c>
      <c r="N434" s="7" t="s">
        <v>12</v>
      </c>
      <c r="O434" s="7" t="s">
        <v>182</v>
      </c>
      <c r="S434" s="7" t="s">
        <v>96</v>
      </c>
      <c r="V434" s="8">
        <v>120.63</v>
      </c>
      <c r="W434" s="8" t="s">
        <v>196</v>
      </c>
      <c r="X434" s="15">
        <v>44412</v>
      </c>
      <c r="Y434" s="15">
        <v>45204</v>
      </c>
      <c r="Z434" s="17" t="s">
        <v>201</v>
      </c>
      <c r="AA434" s="121">
        <v>48900</v>
      </c>
      <c r="AB434" s="7">
        <v>72</v>
      </c>
      <c r="AC434" s="7">
        <v>67</v>
      </c>
      <c r="AD434" s="15">
        <v>47213</v>
      </c>
      <c r="AE434" s="52">
        <v>456.6</v>
      </c>
      <c r="AF434" s="52"/>
      <c r="AP434" s="9"/>
      <c r="AQ434" s="9"/>
      <c r="AR434" s="9"/>
      <c r="AW434" s="7"/>
      <c r="BD434" s="7"/>
      <c r="CS434" s="9">
        <f t="shared" si="33"/>
        <v>0</v>
      </c>
      <c r="CT434" s="20">
        <f t="shared" si="34"/>
        <v>0</v>
      </c>
      <c r="CU434" s="20">
        <f t="shared" si="35"/>
        <v>0</v>
      </c>
      <c r="CV434" s="24">
        <f t="shared" si="36"/>
        <v>456.6</v>
      </c>
    </row>
    <row r="435" spans="1:101" x14ac:dyDescent="0.2">
      <c r="A435" s="7" t="s">
        <v>181</v>
      </c>
      <c r="B435" s="1">
        <v>29</v>
      </c>
      <c r="C435" s="2" t="s">
        <v>36</v>
      </c>
      <c r="D435" s="2" t="s">
        <v>37</v>
      </c>
      <c r="E435" s="1"/>
      <c r="F435" s="1"/>
      <c r="G435" s="1" t="s">
        <v>19</v>
      </c>
      <c r="H435" s="1">
        <v>1</v>
      </c>
      <c r="I435" s="6">
        <v>125.02</v>
      </c>
      <c r="J435" s="6">
        <v>55564</v>
      </c>
      <c r="K435" s="2">
        <v>0</v>
      </c>
      <c r="L435" s="2" t="s">
        <v>3</v>
      </c>
      <c r="M435" s="7" t="s">
        <v>0</v>
      </c>
      <c r="N435" s="7" t="s">
        <v>12</v>
      </c>
      <c r="O435" s="7" t="s">
        <v>182</v>
      </c>
      <c r="S435" s="7" t="s">
        <v>96</v>
      </c>
      <c r="V435" s="8">
        <v>120.63</v>
      </c>
      <c r="W435" s="8" t="s">
        <v>196</v>
      </c>
      <c r="X435" s="15">
        <v>44412</v>
      </c>
      <c r="Y435" s="15">
        <v>45204</v>
      </c>
      <c r="Z435" s="17" t="s">
        <v>201</v>
      </c>
      <c r="AA435" s="121">
        <v>48900</v>
      </c>
      <c r="AB435" s="7">
        <v>72</v>
      </c>
      <c r="AC435" s="7">
        <v>68</v>
      </c>
      <c r="AD435" s="15">
        <v>47243</v>
      </c>
      <c r="AE435" s="52">
        <v>456.6</v>
      </c>
      <c r="AF435" s="52"/>
      <c r="AP435" s="9"/>
      <c r="AQ435" s="9"/>
      <c r="AR435" s="9"/>
      <c r="AW435" s="7"/>
      <c r="BD435" s="7"/>
      <c r="CS435" s="9">
        <f t="shared" si="33"/>
        <v>0</v>
      </c>
      <c r="CT435" s="20">
        <f t="shared" si="34"/>
        <v>0</v>
      </c>
      <c r="CU435" s="20">
        <f t="shared" si="35"/>
        <v>0</v>
      </c>
      <c r="CV435" s="24">
        <f t="shared" si="36"/>
        <v>456.6</v>
      </c>
    </row>
    <row r="436" spans="1:101" x14ac:dyDescent="0.2">
      <c r="A436" s="7" t="s">
        <v>181</v>
      </c>
      <c r="B436" s="1">
        <v>29</v>
      </c>
      <c r="C436" s="2" t="s">
        <v>36</v>
      </c>
      <c r="D436" s="2" t="s">
        <v>37</v>
      </c>
      <c r="E436" s="1"/>
      <c r="F436" s="1"/>
      <c r="G436" s="1" t="s">
        <v>19</v>
      </c>
      <c r="H436" s="1">
        <v>1</v>
      </c>
      <c r="I436" s="6">
        <v>125.02</v>
      </c>
      <c r="J436" s="6">
        <v>55564</v>
      </c>
      <c r="K436" s="2">
        <v>0</v>
      </c>
      <c r="L436" s="2" t="s">
        <v>3</v>
      </c>
      <c r="M436" s="7" t="s">
        <v>0</v>
      </c>
      <c r="N436" s="7" t="s">
        <v>12</v>
      </c>
      <c r="O436" s="7" t="s">
        <v>182</v>
      </c>
      <c r="S436" s="7" t="s">
        <v>96</v>
      </c>
      <c r="V436" s="8">
        <v>120.63</v>
      </c>
      <c r="W436" s="8" t="s">
        <v>196</v>
      </c>
      <c r="X436" s="15">
        <v>44412</v>
      </c>
      <c r="Y436" s="15">
        <v>45204</v>
      </c>
      <c r="Z436" s="17" t="s">
        <v>201</v>
      </c>
      <c r="AA436" s="121">
        <v>48900</v>
      </c>
      <c r="AB436" s="7">
        <v>72</v>
      </c>
      <c r="AC436" s="7">
        <v>69</v>
      </c>
      <c r="AD436" s="15">
        <v>47274</v>
      </c>
      <c r="AE436" s="52">
        <v>456.6</v>
      </c>
      <c r="AF436" s="52"/>
      <c r="AP436" s="9"/>
      <c r="AQ436" s="9"/>
      <c r="AR436" s="9"/>
      <c r="AW436" s="7"/>
      <c r="BD436" s="7"/>
      <c r="CS436" s="9">
        <f t="shared" si="33"/>
        <v>0</v>
      </c>
      <c r="CT436" s="20">
        <f t="shared" si="34"/>
        <v>0</v>
      </c>
      <c r="CU436" s="20">
        <f t="shared" si="35"/>
        <v>0</v>
      </c>
      <c r="CV436" s="24">
        <f t="shared" si="36"/>
        <v>456.6</v>
      </c>
    </row>
    <row r="437" spans="1:101" x14ac:dyDescent="0.2">
      <c r="A437" s="7" t="s">
        <v>181</v>
      </c>
      <c r="B437" s="1">
        <v>29</v>
      </c>
      <c r="C437" s="2" t="s">
        <v>36</v>
      </c>
      <c r="D437" s="2" t="s">
        <v>37</v>
      </c>
      <c r="E437" s="1"/>
      <c r="F437" s="1"/>
      <c r="G437" s="1" t="s">
        <v>19</v>
      </c>
      <c r="H437" s="1">
        <v>1</v>
      </c>
      <c r="I437" s="6">
        <v>125.02</v>
      </c>
      <c r="J437" s="6">
        <v>55564</v>
      </c>
      <c r="K437" s="2">
        <v>0</v>
      </c>
      <c r="L437" s="2" t="s">
        <v>3</v>
      </c>
      <c r="M437" s="7" t="s">
        <v>0</v>
      </c>
      <c r="N437" s="7" t="s">
        <v>12</v>
      </c>
      <c r="O437" s="7" t="s">
        <v>182</v>
      </c>
      <c r="S437" s="7" t="s">
        <v>96</v>
      </c>
      <c r="V437" s="8">
        <v>120.63</v>
      </c>
      <c r="W437" s="8" t="s">
        <v>196</v>
      </c>
      <c r="X437" s="15">
        <v>44412</v>
      </c>
      <c r="Y437" s="15">
        <v>45204</v>
      </c>
      <c r="Z437" s="17" t="s">
        <v>201</v>
      </c>
      <c r="AA437" s="121">
        <v>48900</v>
      </c>
      <c r="AB437" s="7">
        <v>72</v>
      </c>
      <c r="AC437" s="7">
        <v>70</v>
      </c>
      <c r="AD437" s="15">
        <v>47304</v>
      </c>
      <c r="AE437" s="52">
        <v>456.6</v>
      </c>
      <c r="AF437" s="52"/>
      <c r="AP437" s="9"/>
      <c r="AQ437" s="9"/>
      <c r="AR437" s="9"/>
      <c r="AW437" s="7"/>
      <c r="BD437" s="7"/>
      <c r="CS437" s="9">
        <f t="shared" si="33"/>
        <v>0</v>
      </c>
      <c r="CT437" s="20">
        <f t="shared" si="34"/>
        <v>0</v>
      </c>
      <c r="CU437" s="20">
        <f t="shared" si="35"/>
        <v>0</v>
      </c>
      <c r="CV437" s="24">
        <f t="shared" si="36"/>
        <v>456.6</v>
      </c>
    </row>
    <row r="438" spans="1:101" x14ac:dyDescent="0.2">
      <c r="A438" s="7" t="s">
        <v>181</v>
      </c>
      <c r="B438" s="1">
        <v>29</v>
      </c>
      <c r="C438" s="2" t="s">
        <v>36</v>
      </c>
      <c r="D438" s="2" t="s">
        <v>37</v>
      </c>
      <c r="E438" s="1"/>
      <c r="F438" s="1"/>
      <c r="G438" s="1" t="s">
        <v>19</v>
      </c>
      <c r="H438" s="1">
        <v>1</v>
      </c>
      <c r="I438" s="6">
        <v>125.02</v>
      </c>
      <c r="J438" s="6">
        <v>55564</v>
      </c>
      <c r="K438" s="2">
        <v>0</v>
      </c>
      <c r="L438" s="2" t="s">
        <v>3</v>
      </c>
      <c r="M438" s="7" t="s">
        <v>0</v>
      </c>
      <c r="N438" s="7" t="s">
        <v>12</v>
      </c>
      <c r="O438" s="7" t="s">
        <v>182</v>
      </c>
      <c r="S438" s="7" t="s">
        <v>96</v>
      </c>
      <c r="V438" s="8">
        <v>120.63</v>
      </c>
      <c r="W438" s="8" t="s">
        <v>196</v>
      </c>
      <c r="X438" s="15">
        <v>44412</v>
      </c>
      <c r="Y438" s="15">
        <v>45204</v>
      </c>
      <c r="Z438" s="17" t="s">
        <v>201</v>
      </c>
      <c r="AA438" s="121">
        <v>48900</v>
      </c>
      <c r="AB438" s="7">
        <v>72</v>
      </c>
      <c r="AC438" s="7">
        <v>71</v>
      </c>
      <c r="AD438" s="15">
        <v>47335</v>
      </c>
      <c r="AE438" s="52">
        <v>456.6</v>
      </c>
      <c r="AF438" s="52"/>
      <c r="AP438" s="9"/>
      <c r="AQ438" s="9"/>
      <c r="AR438" s="9"/>
      <c r="AW438" s="7"/>
      <c r="BD438" s="7"/>
      <c r="CS438" s="9">
        <f t="shared" si="33"/>
        <v>0</v>
      </c>
      <c r="CT438" s="20">
        <f t="shared" si="34"/>
        <v>0</v>
      </c>
      <c r="CU438" s="20">
        <f t="shared" si="35"/>
        <v>0</v>
      </c>
      <c r="CV438" s="24">
        <f t="shared" si="36"/>
        <v>456.6</v>
      </c>
    </row>
    <row r="439" spans="1:101" x14ac:dyDescent="0.2">
      <c r="A439" s="7" t="s">
        <v>181</v>
      </c>
      <c r="B439" s="1">
        <v>29</v>
      </c>
      <c r="C439" s="2" t="s">
        <v>36</v>
      </c>
      <c r="D439" s="2" t="s">
        <v>37</v>
      </c>
      <c r="E439" s="1"/>
      <c r="F439" s="1"/>
      <c r="G439" s="1" t="s">
        <v>19</v>
      </c>
      <c r="H439" s="1">
        <v>1</v>
      </c>
      <c r="I439" s="6">
        <v>125.02</v>
      </c>
      <c r="J439" s="6">
        <v>55564</v>
      </c>
      <c r="K439" s="2">
        <v>0</v>
      </c>
      <c r="L439" s="2" t="s">
        <v>3</v>
      </c>
      <c r="M439" s="7" t="s">
        <v>0</v>
      </c>
      <c r="N439" s="7" t="s">
        <v>12</v>
      </c>
      <c r="O439" s="7" t="s">
        <v>182</v>
      </c>
      <c r="S439" s="7" t="s">
        <v>96</v>
      </c>
      <c r="V439" s="8">
        <v>120.63</v>
      </c>
      <c r="W439" s="8" t="s">
        <v>196</v>
      </c>
      <c r="X439" s="15">
        <v>44412</v>
      </c>
      <c r="Y439" s="15">
        <v>45204</v>
      </c>
      <c r="Z439" s="17" t="s">
        <v>201</v>
      </c>
      <c r="AA439" s="121">
        <v>48900</v>
      </c>
      <c r="AB439" s="7">
        <v>72</v>
      </c>
      <c r="AC439" s="7">
        <v>72</v>
      </c>
      <c r="AD439" s="15">
        <v>47366</v>
      </c>
      <c r="AE439" s="52">
        <v>481.4</v>
      </c>
      <c r="AF439" s="52"/>
      <c r="AP439" s="9"/>
      <c r="AQ439" s="9"/>
      <c r="AR439" s="9"/>
      <c r="AW439" s="7"/>
      <c r="BD439" s="7"/>
      <c r="CS439" s="9">
        <f t="shared" si="33"/>
        <v>0</v>
      </c>
      <c r="CT439" s="20">
        <f t="shared" si="34"/>
        <v>0</v>
      </c>
      <c r="CU439" s="20">
        <f t="shared" si="35"/>
        <v>0</v>
      </c>
      <c r="CV439" s="24">
        <f t="shared" si="36"/>
        <v>481.4</v>
      </c>
    </row>
    <row r="440" spans="1:101" x14ac:dyDescent="0.2">
      <c r="A440" s="7" t="s">
        <v>181</v>
      </c>
      <c r="B440" s="1">
        <v>29</v>
      </c>
      <c r="C440" s="2" t="s">
        <v>36</v>
      </c>
      <c r="D440" s="2" t="s">
        <v>37</v>
      </c>
      <c r="E440" s="1"/>
      <c r="F440" s="1"/>
      <c r="G440" s="1" t="s">
        <v>19</v>
      </c>
      <c r="H440" s="1">
        <v>1</v>
      </c>
      <c r="I440" s="6">
        <v>125.02</v>
      </c>
      <c r="J440" s="6">
        <v>55564</v>
      </c>
      <c r="K440" s="2">
        <v>0</v>
      </c>
      <c r="L440" s="2" t="s">
        <v>3</v>
      </c>
      <c r="M440" s="7" t="s">
        <v>0</v>
      </c>
      <c r="N440" s="7" t="s">
        <v>12</v>
      </c>
      <c r="O440" s="7" t="s">
        <v>182</v>
      </c>
      <c r="S440" s="45" t="s">
        <v>183</v>
      </c>
      <c r="T440" s="67"/>
      <c r="U440" s="67"/>
      <c r="W440" s="8" t="s">
        <v>196</v>
      </c>
      <c r="X440" s="15">
        <v>44412</v>
      </c>
      <c r="Y440" s="15"/>
      <c r="Z440" s="15" t="s">
        <v>200</v>
      </c>
      <c r="AB440" s="7">
        <v>1</v>
      </c>
      <c r="AC440" s="7">
        <v>1</v>
      </c>
      <c r="AD440" s="15">
        <v>44418</v>
      </c>
      <c r="AE440" s="62">
        <v>4100</v>
      </c>
      <c r="AF440" s="52"/>
      <c r="AG440" s="7" t="s">
        <v>72</v>
      </c>
      <c r="AH440" s="15">
        <v>44418</v>
      </c>
      <c r="AI440" s="28" t="s">
        <v>12</v>
      </c>
      <c r="AJ440" s="7" t="s">
        <v>371</v>
      </c>
      <c r="AK440" s="7" t="s">
        <v>368</v>
      </c>
      <c r="AM440" s="9">
        <v>4100</v>
      </c>
      <c r="AN440" s="9" t="s">
        <v>370</v>
      </c>
      <c r="AO440" s="53"/>
      <c r="AP440" s="53"/>
      <c r="AQ440" s="53"/>
      <c r="AR440" s="53"/>
      <c r="AS440" s="53"/>
      <c r="AT440" s="53"/>
      <c r="AU440" s="53"/>
      <c r="AV440" s="53"/>
      <c r="AW440" s="15">
        <v>44413</v>
      </c>
      <c r="AX440" s="7">
        <v>6332</v>
      </c>
      <c r="AY440" s="7">
        <v>24600</v>
      </c>
      <c r="BB440" s="9" t="s">
        <v>875</v>
      </c>
      <c r="BD440" s="7"/>
      <c r="CS440" s="21">
        <f>+AM440</f>
        <v>4100</v>
      </c>
      <c r="CT440" s="20">
        <f>+AY440+BE440+BK440+BQ440+BW440+CC440+CI440+CO440</f>
        <v>24600</v>
      </c>
      <c r="CU440" s="20">
        <f t="shared" si="35"/>
        <v>-20500</v>
      </c>
      <c r="CV440" s="24">
        <f>+AE440-AM440-AU440</f>
        <v>0</v>
      </c>
      <c r="CW440" s="7" t="s">
        <v>875</v>
      </c>
    </row>
    <row r="441" spans="1:101" x14ac:dyDescent="0.2">
      <c r="A441" s="7" t="s">
        <v>184</v>
      </c>
      <c r="B441" s="1">
        <v>130</v>
      </c>
      <c r="C441" s="2" t="s">
        <v>36</v>
      </c>
      <c r="D441" s="2" t="s">
        <v>37</v>
      </c>
      <c r="E441" s="1"/>
      <c r="F441" s="1"/>
      <c r="G441" s="1" t="s">
        <v>25</v>
      </c>
      <c r="H441" s="1">
        <v>7</v>
      </c>
      <c r="I441" s="6">
        <v>165.5</v>
      </c>
      <c r="J441" s="6">
        <v>49999</v>
      </c>
      <c r="K441" s="2">
        <v>0</v>
      </c>
      <c r="L441" s="2" t="s">
        <v>3</v>
      </c>
      <c r="M441" s="7" t="s">
        <v>0</v>
      </c>
      <c r="N441" s="7" t="s">
        <v>13</v>
      </c>
      <c r="O441" s="7" t="s">
        <v>185</v>
      </c>
      <c r="P441" s="7" t="s">
        <v>0</v>
      </c>
      <c r="Q441" s="28" t="s">
        <v>186</v>
      </c>
      <c r="R441" s="7" t="s">
        <v>187</v>
      </c>
      <c r="S441" s="7" t="s">
        <v>96</v>
      </c>
      <c r="T441" s="8" t="s">
        <v>25</v>
      </c>
      <c r="U441" s="8">
        <v>7</v>
      </c>
      <c r="V441" s="8">
        <v>165.5</v>
      </c>
      <c r="W441" s="8" t="s">
        <v>196</v>
      </c>
      <c r="X441" s="15">
        <v>44629</v>
      </c>
      <c r="Y441" s="15">
        <v>44629</v>
      </c>
      <c r="Z441" s="17" t="s">
        <v>201</v>
      </c>
      <c r="AA441" s="121">
        <v>45000</v>
      </c>
      <c r="AB441" s="7">
        <v>38</v>
      </c>
      <c r="AC441" s="85" t="s">
        <v>231</v>
      </c>
      <c r="AD441" s="15">
        <v>44620</v>
      </c>
      <c r="AE441" s="52">
        <f>1000+2556.1+943.9+1500</f>
        <v>6000</v>
      </c>
      <c r="AF441" s="52"/>
      <c r="AH441" s="15">
        <v>44631</v>
      </c>
      <c r="AI441" s="28" t="s">
        <v>13</v>
      </c>
      <c r="AJ441" s="7" t="s">
        <v>279</v>
      </c>
      <c r="AK441" s="7" t="s">
        <v>278</v>
      </c>
      <c r="AL441" s="9">
        <v>6000</v>
      </c>
      <c r="AN441" s="9" t="s">
        <v>277</v>
      </c>
      <c r="AP441" s="9"/>
      <c r="AQ441" s="9"/>
      <c r="AR441" s="9"/>
      <c r="AW441" s="39">
        <v>44620</v>
      </c>
      <c r="AX441" s="83" t="s">
        <v>334</v>
      </c>
      <c r="AY441" s="34"/>
      <c r="AZ441" s="34"/>
      <c r="BA441" s="51">
        <v>1000</v>
      </c>
      <c r="BB441" s="51"/>
      <c r="BC441" s="39">
        <v>44629</v>
      </c>
      <c r="BD441" s="83" t="s">
        <v>335</v>
      </c>
      <c r="BE441" s="34"/>
      <c r="BF441" s="34"/>
      <c r="BG441" s="51">
        <v>2556.1</v>
      </c>
      <c r="BH441" s="34"/>
      <c r="BI441" s="15">
        <v>44629</v>
      </c>
      <c r="BJ441" s="56" t="s">
        <v>190</v>
      </c>
      <c r="BM441" s="52">
        <v>943.9</v>
      </c>
      <c r="BN441" s="52" t="s">
        <v>227</v>
      </c>
      <c r="BO441" s="15">
        <v>44629</v>
      </c>
      <c r="BP441" s="56" t="s">
        <v>191</v>
      </c>
      <c r="BS441" s="52">
        <v>1500</v>
      </c>
      <c r="BT441" s="52"/>
      <c r="CS441" s="9">
        <f t="shared" ref="CS441:CS504" si="37">+AL441+AT441</f>
        <v>6000</v>
      </c>
      <c r="CT441" s="20">
        <f t="shared" ref="CT441:CT504" si="38">+BA441+BG441+BM441+BS441+BY441+CE441+CK441+CQ441</f>
        <v>6000</v>
      </c>
      <c r="CU441" s="20">
        <f t="shared" si="35"/>
        <v>0</v>
      </c>
      <c r="CV441" s="24">
        <f t="shared" ref="CV441:CV504" si="39">+AE441-AL441-AT441</f>
        <v>0</v>
      </c>
    </row>
    <row r="442" spans="1:101" ht="12.75" x14ac:dyDescent="0.2">
      <c r="A442" s="7" t="s">
        <v>184</v>
      </c>
      <c r="B442" s="1">
        <v>130</v>
      </c>
      <c r="C442" s="2" t="s">
        <v>36</v>
      </c>
      <c r="D442" s="2" t="s">
        <v>37</v>
      </c>
      <c r="E442" s="1"/>
      <c r="F442" s="1"/>
      <c r="G442" s="1" t="s">
        <v>25</v>
      </c>
      <c r="H442" s="1">
        <v>7</v>
      </c>
      <c r="I442" s="6">
        <v>165.5</v>
      </c>
      <c r="J442" s="6">
        <v>49999</v>
      </c>
      <c r="K442" s="2">
        <v>0</v>
      </c>
      <c r="L442" s="2" t="s">
        <v>3</v>
      </c>
      <c r="M442" s="7" t="s">
        <v>0</v>
      </c>
      <c r="N442" s="7" t="s">
        <v>13</v>
      </c>
      <c r="O442" s="7" t="s">
        <v>185</v>
      </c>
      <c r="P442" s="7" t="s">
        <v>0</v>
      </c>
      <c r="Q442" s="28" t="s">
        <v>186</v>
      </c>
      <c r="R442" s="7" t="s">
        <v>187</v>
      </c>
      <c r="S442" s="7" t="s">
        <v>96</v>
      </c>
      <c r="T442" s="8" t="s">
        <v>25</v>
      </c>
      <c r="U442" s="8">
        <v>7</v>
      </c>
      <c r="V442" s="8">
        <v>165.5</v>
      </c>
      <c r="W442" s="8" t="s">
        <v>196</v>
      </c>
      <c r="X442" s="15">
        <v>44629</v>
      </c>
      <c r="Y442" s="15">
        <v>44629</v>
      </c>
      <c r="Z442" s="17" t="s">
        <v>201</v>
      </c>
      <c r="AA442" s="121">
        <v>45000</v>
      </c>
      <c r="AB442" s="7">
        <v>38</v>
      </c>
      <c r="AC442" s="7">
        <v>5</v>
      </c>
      <c r="AD442" s="15">
        <v>44650</v>
      </c>
      <c r="AE442" s="52">
        <v>700</v>
      </c>
      <c r="AF442" s="52"/>
      <c r="AH442" s="15">
        <v>45085</v>
      </c>
      <c r="AI442" s="28" t="s">
        <v>13</v>
      </c>
      <c r="AJ442" s="7" t="s">
        <v>279</v>
      </c>
      <c r="AK442" s="7" t="s">
        <v>280</v>
      </c>
      <c r="AL442" s="9">
        <v>700</v>
      </c>
      <c r="AN442" s="9" t="s">
        <v>287</v>
      </c>
      <c r="AP442" s="9"/>
      <c r="AQ442" s="9"/>
      <c r="AR442" s="9"/>
      <c r="AW442" s="15">
        <v>45083</v>
      </c>
      <c r="AX442" s="56" t="s">
        <v>336</v>
      </c>
      <c r="BA442" s="81">
        <v>700</v>
      </c>
      <c r="BB442" s="52"/>
      <c r="BD442" s="7"/>
      <c r="CS442" s="9">
        <f t="shared" si="37"/>
        <v>700</v>
      </c>
      <c r="CT442" s="20">
        <f t="shared" si="38"/>
        <v>700</v>
      </c>
      <c r="CU442" s="20">
        <f t="shared" si="35"/>
        <v>0</v>
      </c>
      <c r="CV442" s="24">
        <f t="shared" si="39"/>
        <v>0</v>
      </c>
    </row>
    <row r="443" spans="1:101" x14ac:dyDescent="0.2">
      <c r="A443" s="7" t="s">
        <v>184</v>
      </c>
      <c r="B443" s="1">
        <v>130</v>
      </c>
      <c r="C443" s="2" t="s">
        <v>36</v>
      </c>
      <c r="D443" s="2" t="s">
        <v>37</v>
      </c>
      <c r="E443" s="1"/>
      <c r="F443" s="1"/>
      <c r="G443" s="1" t="s">
        <v>25</v>
      </c>
      <c r="H443" s="1">
        <v>7</v>
      </c>
      <c r="I443" s="6">
        <v>165.5</v>
      </c>
      <c r="J443" s="6">
        <v>49999</v>
      </c>
      <c r="K443" s="2">
        <v>0</v>
      </c>
      <c r="L443" s="2" t="s">
        <v>3</v>
      </c>
      <c r="M443" s="7" t="s">
        <v>0</v>
      </c>
      <c r="N443" s="7" t="s">
        <v>13</v>
      </c>
      <c r="O443" s="7" t="s">
        <v>185</v>
      </c>
      <c r="P443" s="7" t="s">
        <v>0</v>
      </c>
      <c r="Q443" s="28" t="s">
        <v>186</v>
      </c>
      <c r="R443" s="7" t="s">
        <v>187</v>
      </c>
      <c r="S443" s="7" t="s">
        <v>96</v>
      </c>
      <c r="T443" s="8" t="s">
        <v>25</v>
      </c>
      <c r="U443" s="8">
        <v>7</v>
      </c>
      <c r="V443" s="8">
        <v>165.5</v>
      </c>
      <c r="W443" s="8" t="s">
        <v>196</v>
      </c>
      <c r="X443" s="15">
        <v>44629</v>
      </c>
      <c r="Y443" s="15">
        <v>44629</v>
      </c>
      <c r="Z443" s="17" t="s">
        <v>201</v>
      </c>
      <c r="AA443" s="121">
        <v>45000</v>
      </c>
      <c r="AB443" s="7">
        <v>38</v>
      </c>
      <c r="AC443" s="7">
        <v>6</v>
      </c>
      <c r="AD443" s="15">
        <v>44681</v>
      </c>
      <c r="AE443" s="52">
        <v>2000</v>
      </c>
      <c r="AF443" s="52"/>
      <c r="AH443" s="15">
        <v>45085</v>
      </c>
      <c r="AI443" s="28" t="s">
        <v>13</v>
      </c>
      <c r="AJ443" s="7" t="s">
        <v>279</v>
      </c>
      <c r="AK443" s="7" t="s">
        <v>281</v>
      </c>
      <c r="AL443" s="9">
        <v>2000</v>
      </c>
      <c r="AN443" s="9" t="s">
        <v>288</v>
      </c>
      <c r="AP443" s="9"/>
      <c r="AQ443" s="9"/>
      <c r="AR443" s="9"/>
      <c r="AW443" s="15">
        <v>45051</v>
      </c>
      <c r="AX443" s="56" t="s">
        <v>337</v>
      </c>
      <c r="BA443" s="52">
        <v>500</v>
      </c>
      <c r="BB443" s="52"/>
      <c r="BC443" s="15">
        <v>44993</v>
      </c>
      <c r="BD443" s="7">
        <v>1299</v>
      </c>
      <c r="BG443" s="52">
        <v>500</v>
      </c>
      <c r="BI443" s="15">
        <v>44995</v>
      </c>
      <c r="BJ443" s="7">
        <v>1308</v>
      </c>
      <c r="BM443" s="52">
        <v>500</v>
      </c>
      <c r="BO443" s="15">
        <v>45040</v>
      </c>
      <c r="BP443" s="7">
        <v>1436</v>
      </c>
      <c r="BR443" s="52"/>
      <c r="BS443" s="52">
        <v>500</v>
      </c>
      <c r="BT443" s="52"/>
      <c r="CS443" s="9">
        <f t="shared" si="37"/>
        <v>2000</v>
      </c>
      <c r="CT443" s="20">
        <f t="shared" si="38"/>
        <v>2000</v>
      </c>
      <c r="CU443" s="20">
        <f t="shared" si="35"/>
        <v>0</v>
      </c>
      <c r="CV443" s="24">
        <f t="shared" si="39"/>
        <v>0</v>
      </c>
    </row>
    <row r="444" spans="1:101" ht="12.75" x14ac:dyDescent="0.2">
      <c r="A444" s="7" t="s">
        <v>184</v>
      </c>
      <c r="B444" s="1">
        <v>130</v>
      </c>
      <c r="C444" s="2" t="s">
        <v>36</v>
      </c>
      <c r="D444" s="2" t="s">
        <v>37</v>
      </c>
      <c r="E444" s="1"/>
      <c r="F444" s="1"/>
      <c r="G444" s="1" t="s">
        <v>25</v>
      </c>
      <c r="H444" s="1">
        <v>7</v>
      </c>
      <c r="I444" s="6">
        <v>165.5</v>
      </c>
      <c r="J444" s="6">
        <v>49999</v>
      </c>
      <c r="K444" s="2">
        <v>0</v>
      </c>
      <c r="L444" s="2" t="s">
        <v>3</v>
      </c>
      <c r="M444" s="7" t="s">
        <v>0</v>
      </c>
      <c r="N444" s="7" t="s">
        <v>13</v>
      </c>
      <c r="O444" s="7" t="s">
        <v>185</v>
      </c>
      <c r="P444" s="7" t="s">
        <v>0</v>
      </c>
      <c r="Q444" s="28" t="s">
        <v>186</v>
      </c>
      <c r="R444" s="7" t="s">
        <v>187</v>
      </c>
      <c r="S444" s="7" t="s">
        <v>96</v>
      </c>
      <c r="T444" s="8" t="s">
        <v>25</v>
      </c>
      <c r="U444" s="8">
        <v>7</v>
      </c>
      <c r="V444" s="8">
        <v>165.5</v>
      </c>
      <c r="W444" s="8" t="s">
        <v>196</v>
      </c>
      <c r="X444" s="15">
        <v>44629</v>
      </c>
      <c r="Y444" s="15">
        <v>44629</v>
      </c>
      <c r="Z444" s="17" t="s">
        <v>201</v>
      </c>
      <c r="AA444" s="121">
        <v>45000</v>
      </c>
      <c r="AB444" s="7">
        <v>38</v>
      </c>
      <c r="AC444" s="7">
        <v>7</v>
      </c>
      <c r="AD444" s="15">
        <v>44711</v>
      </c>
      <c r="AE444" s="52">
        <v>700</v>
      </c>
      <c r="AF444" s="52"/>
      <c r="AH444" s="15">
        <v>45141</v>
      </c>
      <c r="AI444" s="28" t="s">
        <v>13</v>
      </c>
      <c r="AJ444" s="7" t="s">
        <v>279</v>
      </c>
      <c r="AK444" s="7" t="s">
        <v>282</v>
      </c>
      <c r="AL444" s="9">
        <v>700</v>
      </c>
      <c r="AN444" s="9" t="s">
        <v>289</v>
      </c>
      <c r="AP444" s="9"/>
      <c r="AQ444" s="9"/>
      <c r="AR444" s="9"/>
      <c r="AW444" s="15">
        <v>45139</v>
      </c>
      <c r="AX444" s="56" t="s">
        <v>338</v>
      </c>
      <c r="BA444" s="81">
        <v>700</v>
      </c>
      <c r="BB444" s="52"/>
      <c r="BD444" s="7"/>
      <c r="CS444" s="9">
        <f t="shared" si="37"/>
        <v>700</v>
      </c>
      <c r="CT444" s="20">
        <f t="shared" si="38"/>
        <v>700</v>
      </c>
      <c r="CU444" s="20">
        <f t="shared" si="35"/>
        <v>0</v>
      </c>
      <c r="CV444" s="24">
        <f t="shared" si="39"/>
        <v>0</v>
      </c>
    </row>
    <row r="445" spans="1:101" ht="12.75" x14ac:dyDescent="0.2">
      <c r="A445" s="7" t="s">
        <v>184</v>
      </c>
      <c r="B445" s="1">
        <v>130</v>
      </c>
      <c r="C445" s="2" t="s">
        <v>36</v>
      </c>
      <c r="D445" s="2" t="s">
        <v>37</v>
      </c>
      <c r="E445" s="1"/>
      <c r="F445" s="1"/>
      <c r="G445" s="1" t="s">
        <v>25</v>
      </c>
      <c r="H445" s="1">
        <v>7</v>
      </c>
      <c r="I445" s="6">
        <v>165.5</v>
      </c>
      <c r="J445" s="6">
        <v>49999</v>
      </c>
      <c r="K445" s="2">
        <v>0</v>
      </c>
      <c r="L445" s="2" t="s">
        <v>3</v>
      </c>
      <c r="M445" s="7" t="s">
        <v>0</v>
      </c>
      <c r="N445" s="7" t="s">
        <v>13</v>
      </c>
      <c r="O445" s="7" t="s">
        <v>185</v>
      </c>
      <c r="P445" s="7" t="s">
        <v>0</v>
      </c>
      <c r="Q445" s="28" t="s">
        <v>186</v>
      </c>
      <c r="R445" s="7" t="s">
        <v>187</v>
      </c>
      <c r="S445" s="7" t="s">
        <v>96</v>
      </c>
      <c r="T445" s="8" t="s">
        <v>25</v>
      </c>
      <c r="U445" s="8">
        <v>7</v>
      </c>
      <c r="V445" s="8">
        <v>165.5</v>
      </c>
      <c r="W445" s="8" t="s">
        <v>196</v>
      </c>
      <c r="X445" s="15">
        <v>44629</v>
      </c>
      <c r="Y445" s="15">
        <v>44629</v>
      </c>
      <c r="Z445" s="17" t="s">
        <v>201</v>
      </c>
      <c r="AA445" s="121">
        <v>45000</v>
      </c>
      <c r="AB445" s="7">
        <v>38</v>
      </c>
      <c r="AC445" s="7">
        <v>8</v>
      </c>
      <c r="AD445" s="15">
        <v>44742</v>
      </c>
      <c r="AE445" s="52">
        <v>700</v>
      </c>
      <c r="AF445" s="52"/>
      <c r="AH445" s="15">
        <v>45177</v>
      </c>
      <c r="AI445" s="28" t="s">
        <v>13</v>
      </c>
      <c r="AJ445" s="7" t="s">
        <v>279</v>
      </c>
      <c r="AK445" s="7" t="s">
        <v>283</v>
      </c>
      <c r="AL445" s="9">
        <v>700</v>
      </c>
      <c r="AN445" s="9" t="s">
        <v>290</v>
      </c>
      <c r="AP445" s="9"/>
      <c r="AQ445" s="9"/>
      <c r="AR445" s="9"/>
      <c r="AW445" s="15">
        <v>45169</v>
      </c>
      <c r="AX445" s="56">
        <v>1861</v>
      </c>
      <c r="BA445" s="81">
        <v>700</v>
      </c>
      <c r="BB445" s="52"/>
      <c r="BD445" s="7"/>
      <c r="CS445" s="9">
        <f t="shared" si="37"/>
        <v>700</v>
      </c>
      <c r="CT445" s="20">
        <f t="shared" si="38"/>
        <v>700</v>
      </c>
      <c r="CU445" s="20">
        <f t="shared" si="35"/>
        <v>0</v>
      </c>
      <c r="CV445" s="24">
        <f t="shared" si="39"/>
        <v>0</v>
      </c>
    </row>
    <row r="446" spans="1:101" ht="12.75" x14ac:dyDescent="0.2">
      <c r="A446" s="7" t="s">
        <v>184</v>
      </c>
      <c r="B446" s="1">
        <v>130</v>
      </c>
      <c r="C446" s="2" t="s">
        <v>36</v>
      </c>
      <c r="D446" s="2" t="s">
        <v>37</v>
      </c>
      <c r="E446" s="1"/>
      <c r="F446" s="1"/>
      <c r="G446" s="1" t="s">
        <v>25</v>
      </c>
      <c r="H446" s="1">
        <v>7</v>
      </c>
      <c r="I446" s="6">
        <v>165.5</v>
      </c>
      <c r="J446" s="6">
        <v>49999</v>
      </c>
      <c r="K446" s="2">
        <v>0</v>
      </c>
      <c r="L446" s="2" t="s">
        <v>3</v>
      </c>
      <c r="M446" s="7" t="s">
        <v>0</v>
      </c>
      <c r="N446" s="7" t="s">
        <v>13</v>
      </c>
      <c r="O446" s="7" t="s">
        <v>185</v>
      </c>
      <c r="P446" s="7" t="s">
        <v>0</v>
      </c>
      <c r="Q446" s="28" t="s">
        <v>186</v>
      </c>
      <c r="R446" s="7" t="s">
        <v>187</v>
      </c>
      <c r="S446" s="7" t="s">
        <v>96</v>
      </c>
      <c r="T446" s="8" t="s">
        <v>25</v>
      </c>
      <c r="U446" s="8">
        <v>7</v>
      </c>
      <c r="V446" s="8">
        <v>165.5</v>
      </c>
      <c r="W446" s="8" t="s">
        <v>196</v>
      </c>
      <c r="X446" s="15">
        <v>44629</v>
      </c>
      <c r="Y446" s="15">
        <v>44629</v>
      </c>
      <c r="Z446" s="17" t="s">
        <v>201</v>
      </c>
      <c r="AA446" s="121">
        <v>45000</v>
      </c>
      <c r="AB446" s="7">
        <v>38</v>
      </c>
      <c r="AC446" s="7">
        <v>9</v>
      </c>
      <c r="AD446" s="15">
        <v>44772</v>
      </c>
      <c r="AE446" s="52">
        <v>700</v>
      </c>
      <c r="AF446" s="52"/>
      <c r="AH446" s="15">
        <v>45216</v>
      </c>
      <c r="AI446" s="28" t="s">
        <v>13</v>
      </c>
      <c r="AJ446" s="7" t="s">
        <v>279</v>
      </c>
      <c r="AK446" s="7" t="s">
        <v>284</v>
      </c>
      <c r="AL446" s="9">
        <v>700</v>
      </c>
      <c r="AN446" s="9" t="s">
        <v>291</v>
      </c>
      <c r="AP446" s="9"/>
      <c r="AQ446" s="9"/>
      <c r="AR446" s="9"/>
      <c r="AW446" s="15">
        <v>45205</v>
      </c>
      <c r="AX446" s="56">
        <v>1958</v>
      </c>
      <c r="BA446" s="81">
        <v>700</v>
      </c>
      <c r="BB446" s="52"/>
      <c r="BC446" s="15"/>
      <c r="BD446" s="7"/>
      <c r="CS446" s="9">
        <f t="shared" si="37"/>
        <v>700</v>
      </c>
      <c r="CT446" s="20">
        <f t="shared" si="38"/>
        <v>700</v>
      </c>
      <c r="CU446" s="20">
        <f t="shared" si="35"/>
        <v>0</v>
      </c>
      <c r="CV446" s="24">
        <f t="shared" si="39"/>
        <v>0</v>
      </c>
    </row>
    <row r="447" spans="1:101" ht="12.75" x14ac:dyDescent="0.2">
      <c r="A447" s="7" t="s">
        <v>184</v>
      </c>
      <c r="B447" s="1">
        <v>130</v>
      </c>
      <c r="C447" s="2" t="s">
        <v>36</v>
      </c>
      <c r="D447" s="2" t="s">
        <v>37</v>
      </c>
      <c r="E447" s="1"/>
      <c r="F447" s="1"/>
      <c r="G447" s="1" t="s">
        <v>25</v>
      </c>
      <c r="H447" s="1">
        <v>7</v>
      </c>
      <c r="I447" s="6">
        <v>165.5</v>
      </c>
      <c r="J447" s="6">
        <v>49999</v>
      </c>
      <c r="K447" s="2">
        <v>0</v>
      </c>
      <c r="L447" s="2" t="s">
        <v>3</v>
      </c>
      <c r="M447" s="7" t="s">
        <v>0</v>
      </c>
      <c r="N447" s="7" t="s">
        <v>13</v>
      </c>
      <c r="O447" s="7" t="s">
        <v>185</v>
      </c>
      <c r="P447" s="7" t="s">
        <v>0</v>
      </c>
      <c r="Q447" s="28" t="s">
        <v>186</v>
      </c>
      <c r="R447" s="7" t="s">
        <v>187</v>
      </c>
      <c r="S447" s="7" t="s">
        <v>96</v>
      </c>
      <c r="T447" s="8" t="s">
        <v>25</v>
      </c>
      <c r="U447" s="8">
        <v>7</v>
      </c>
      <c r="V447" s="8">
        <v>165.5</v>
      </c>
      <c r="W447" s="8" t="s">
        <v>196</v>
      </c>
      <c r="X447" s="15">
        <v>44629</v>
      </c>
      <c r="Y447" s="15">
        <v>44629</v>
      </c>
      <c r="Z447" s="17" t="s">
        <v>201</v>
      </c>
      <c r="AA447" s="121">
        <v>45000</v>
      </c>
      <c r="AB447" s="7">
        <v>38</v>
      </c>
      <c r="AC447" s="7">
        <v>10</v>
      </c>
      <c r="AD447" s="15">
        <v>44803</v>
      </c>
      <c r="AE447" s="52">
        <v>700</v>
      </c>
      <c r="AF447" s="52"/>
      <c r="AH447" s="15">
        <v>45236</v>
      </c>
      <c r="AI447" s="28" t="s">
        <v>13</v>
      </c>
      <c r="AJ447" s="7" t="s">
        <v>279</v>
      </c>
      <c r="AK447" s="7" t="s">
        <v>285</v>
      </c>
      <c r="AL447" s="9">
        <v>700</v>
      </c>
      <c r="AN447" s="9" t="s">
        <v>292</v>
      </c>
      <c r="AP447" s="9"/>
      <c r="AQ447" s="9"/>
      <c r="AR447" s="9"/>
      <c r="AW447" s="15">
        <v>45229</v>
      </c>
      <c r="AX447" s="56">
        <v>2011</v>
      </c>
      <c r="BA447" s="81">
        <v>700</v>
      </c>
      <c r="BB447" s="52"/>
      <c r="BD447" s="7"/>
      <c r="CS447" s="9">
        <f t="shared" si="37"/>
        <v>700</v>
      </c>
      <c r="CT447" s="20">
        <f t="shared" si="38"/>
        <v>700</v>
      </c>
      <c r="CU447" s="20">
        <f t="shared" si="35"/>
        <v>0</v>
      </c>
      <c r="CV447" s="24">
        <f t="shared" si="39"/>
        <v>0</v>
      </c>
    </row>
    <row r="448" spans="1:101" ht="12.75" x14ac:dyDescent="0.2">
      <c r="A448" s="7" t="s">
        <v>184</v>
      </c>
      <c r="B448" s="1">
        <v>130</v>
      </c>
      <c r="C448" s="2" t="s">
        <v>36</v>
      </c>
      <c r="D448" s="2" t="s">
        <v>37</v>
      </c>
      <c r="E448" s="1"/>
      <c r="F448" s="1"/>
      <c r="G448" s="1" t="s">
        <v>25</v>
      </c>
      <c r="H448" s="1">
        <v>7</v>
      </c>
      <c r="I448" s="6">
        <v>165.5</v>
      </c>
      <c r="J448" s="6">
        <v>49999</v>
      </c>
      <c r="K448" s="2">
        <v>0</v>
      </c>
      <c r="L448" s="2" t="s">
        <v>3</v>
      </c>
      <c r="M448" s="7" t="s">
        <v>0</v>
      </c>
      <c r="N448" s="7" t="s">
        <v>13</v>
      </c>
      <c r="O448" s="7" t="s">
        <v>185</v>
      </c>
      <c r="P448" s="7" t="s">
        <v>0</v>
      </c>
      <c r="Q448" s="28" t="s">
        <v>186</v>
      </c>
      <c r="R448" s="7" t="s">
        <v>187</v>
      </c>
      <c r="S448" s="7" t="s">
        <v>96</v>
      </c>
      <c r="T448" s="8" t="s">
        <v>25</v>
      </c>
      <c r="U448" s="8">
        <v>7</v>
      </c>
      <c r="V448" s="8">
        <v>165.5</v>
      </c>
      <c r="W448" s="8" t="s">
        <v>196</v>
      </c>
      <c r="X448" s="15">
        <v>44629</v>
      </c>
      <c r="Y448" s="15">
        <v>44629</v>
      </c>
      <c r="Z448" s="17" t="s">
        <v>201</v>
      </c>
      <c r="AA448" s="121">
        <v>45000</v>
      </c>
      <c r="AB448" s="7">
        <v>38</v>
      </c>
      <c r="AC448" s="7">
        <v>11</v>
      </c>
      <c r="AD448" s="15">
        <v>44834</v>
      </c>
      <c r="AE448" s="52">
        <v>700</v>
      </c>
      <c r="AF448" s="52"/>
      <c r="AH448" s="15">
        <v>45267</v>
      </c>
      <c r="AI448" s="28" t="s">
        <v>13</v>
      </c>
      <c r="AJ448" s="7" t="s">
        <v>279</v>
      </c>
      <c r="AK448" s="7" t="s">
        <v>286</v>
      </c>
      <c r="AL448" s="9">
        <v>700</v>
      </c>
      <c r="AN448" s="9" t="s">
        <v>293</v>
      </c>
      <c r="AP448" s="9"/>
      <c r="AQ448" s="9"/>
      <c r="AR448" s="9"/>
      <c r="AW448" s="15">
        <v>45265</v>
      </c>
      <c r="AX448" s="56">
        <v>2102</v>
      </c>
      <c r="BA448" s="81">
        <v>700</v>
      </c>
      <c r="BB448" s="52"/>
      <c r="BD448" s="7"/>
      <c r="CS448" s="9">
        <f t="shared" si="37"/>
        <v>700</v>
      </c>
      <c r="CT448" s="20">
        <f t="shared" si="38"/>
        <v>700</v>
      </c>
      <c r="CU448" s="20">
        <f t="shared" si="35"/>
        <v>0</v>
      </c>
      <c r="CV448" s="24">
        <f t="shared" si="39"/>
        <v>0</v>
      </c>
    </row>
    <row r="449" spans="1:100" ht="12.75" x14ac:dyDescent="0.2">
      <c r="A449" s="7" t="s">
        <v>184</v>
      </c>
      <c r="B449" s="1">
        <v>130</v>
      </c>
      <c r="C449" s="2" t="s">
        <v>36</v>
      </c>
      <c r="D449" s="2" t="s">
        <v>37</v>
      </c>
      <c r="E449" s="1"/>
      <c r="F449" s="1"/>
      <c r="G449" s="1" t="s">
        <v>25</v>
      </c>
      <c r="H449" s="1">
        <v>7</v>
      </c>
      <c r="I449" s="6">
        <v>165.5</v>
      </c>
      <c r="J449" s="6">
        <v>49999</v>
      </c>
      <c r="K449" s="2">
        <v>0</v>
      </c>
      <c r="L449" s="2" t="s">
        <v>3</v>
      </c>
      <c r="M449" s="7" t="s">
        <v>0</v>
      </c>
      <c r="N449" s="7" t="s">
        <v>13</v>
      </c>
      <c r="O449" s="7" t="s">
        <v>185</v>
      </c>
      <c r="P449" s="7" t="s">
        <v>0</v>
      </c>
      <c r="Q449" s="28" t="s">
        <v>186</v>
      </c>
      <c r="R449" s="7" t="s">
        <v>187</v>
      </c>
      <c r="S449" s="7" t="s">
        <v>96</v>
      </c>
      <c r="T449" s="8" t="s">
        <v>25</v>
      </c>
      <c r="U449" s="8">
        <v>7</v>
      </c>
      <c r="V449" s="8">
        <v>165.5</v>
      </c>
      <c r="W449" s="8" t="s">
        <v>196</v>
      </c>
      <c r="X449" s="15">
        <v>44629</v>
      </c>
      <c r="Y449" s="15">
        <v>44629</v>
      </c>
      <c r="Z449" s="17" t="s">
        <v>201</v>
      </c>
      <c r="AA449" s="121">
        <v>45000</v>
      </c>
      <c r="AB449" s="7">
        <v>38</v>
      </c>
      <c r="AC449" s="7">
        <v>12</v>
      </c>
      <c r="AD449" s="15">
        <v>44864</v>
      </c>
      <c r="AE449" s="52">
        <v>700</v>
      </c>
      <c r="AF449" s="52"/>
      <c r="AH449" s="15">
        <v>45302</v>
      </c>
      <c r="AI449" s="28" t="s">
        <v>13</v>
      </c>
      <c r="AJ449" s="7" t="s">
        <v>279</v>
      </c>
      <c r="AK449" s="7" t="s">
        <v>294</v>
      </c>
      <c r="AL449" s="9">
        <v>700.76</v>
      </c>
      <c r="AN449" s="9" t="s">
        <v>306</v>
      </c>
      <c r="AP449" s="9"/>
      <c r="AQ449" s="9"/>
      <c r="AR449" s="9"/>
      <c r="AW449" s="15">
        <v>45294</v>
      </c>
      <c r="AX449" s="56">
        <v>2180</v>
      </c>
      <c r="BA449" s="81">
        <v>700</v>
      </c>
      <c r="BB449" s="52"/>
      <c r="BD449" s="7"/>
      <c r="CS449" s="9">
        <f t="shared" si="37"/>
        <v>700.76</v>
      </c>
      <c r="CT449" s="20">
        <f t="shared" si="38"/>
        <v>700</v>
      </c>
      <c r="CU449" s="20">
        <f t="shared" si="35"/>
        <v>0.75999999999999091</v>
      </c>
      <c r="CV449" s="24">
        <f t="shared" si="39"/>
        <v>-0.75999999999999091</v>
      </c>
    </row>
    <row r="450" spans="1:100" ht="12.75" x14ac:dyDescent="0.2">
      <c r="A450" s="7" t="s">
        <v>184</v>
      </c>
      <c r="B450" s="1">
        <v>130</v>
      </c>
      <c r="C450" s="2" t="s">
        <v>36</v>
      </c>
      <c r="D450" s="2" t="s">
        <v>37</v>
      </c>
      <c r="E450" s="1"/>
      <c r="F450" s="1"/>
      <c r="G450" s="1" t="s">
        <v>25</v>
      </c>
      <c r="H450" s="1">
        <v>7</v>
      </c>
      <c r="I450" s="6">
        <v>165.5</v>
      </c>
      <c r="J450" s="6">
        <v>49999</v>
      </c>
      <c r="K450" s="2">
        <v>0</v>
      </c>
      <c r="L450" s="2" t="s">
        <v>3</v>
      </c>
      <c r="M450" s="7" t="s">
        <v>0</v>
      </c>
      <c r="N450" s="7" t="s">
        <v>13</v>
      </c>
      <c r="O450" s="7" t="s">
        <v>185</v>
      </c>
      <c r="P450" s="7" t="s">
        <v>0</v>
      </c>
      <c r="Q450" s="28" t="s">
        <v>186</v>
      </c>
      <c r="R450" s="7" t="s">
        <v>187</v>
      </c>
      <c r="S450" s="7" t="s">
        <v>96</v>
      </c>
      <c r="T450" s="8" t="s">
        <v>25</v>
      </c>
      <c r="U450" s="8">
        <v>7</v>
      </c>
      <c r="V450" s="8">
        <v>165.5</v>
      </c>
      <c r="W450" s="8" t="s">
        <v>196</v>
      </c>
      <c r="X450" s="15">
        <v>44629</v>
      </c>
      <c r="Y450" s="15">
        <v>44629</v>
      </c>
      <c r="Z450" s="17" t="s">
        <v>201</v>
      </c>
      <c r="AA450" s="121">
        <v>45000</v>
      </c>
      <c r="AB450" s="7">
        <v>38</v>
      </c>
      <c r="AC450" s="7">
        <v>13</v>
      </c>
      <c r="AD450" s="15">
        <v>44895</v>
      </c>
      <c r="AE450" s="52">
        <v>700</v>
      </c>
      <c r="AF450" s="52"/>
      <c r="AH450" s="15">
        <v>45334</v>
      </c>
      <c r="AI450" s="28" t="s">
        <v>13</v>
      </c>
      <c r="AJ450" s="7" t="s">
        <v>279</v>
      </c>
      <c r="AK450" s="7" t="s">
        <v>295</v>
      </c>
      <c r="AL450" s="9">
        <v>700</v>
      </c>
      <c r="AN450" s="9" t="s">
        <v>307</v>
      </c>
      <c r="AP450" s="9"/>
      <c r="AQ450" s="9"/>
      <c r="AR450" s="9"/>
      <c r="AW450" s="15">
        <v>45327</v>
      </c>
      <c r="AX450" s="56">
        <v>2289</v>
      </c>
      <c r="BA450" s="81">
        <v>700</v>
      </c>
      <c r="BB450" s="52"/>
      <c r="BD450" s="7"/>
      <c r="CS450" s="9">
        <f t="shared" si="37"/>
        <v>700</v>
      </c>
      <c r="CT450" s="20">
        <f t="shared" si="38"/>
        <v>700</v>
      </c>
      <c r="CU450" s="20">
        <f t="shared" si="35"/>
        <v>0</v>
      </c>
      <c r="CV450" s="24">
        <f t="shared" si="39"/>
        <v>0</v>
      </c>
    </row>
    <row r="451" spans="1:100" ht="12.75" x14ac:dyDescent="0.2">
      <c r="A451" s="7" t="s">
        <v>184</v>
      </c>
      <c r="B451" s="1">
        <v>130</v>
      </c>
      <c r="C451" s="2" t="s">
        <v>36</v>
      </c>
      <c r="D451" s="2" t="s">
        <v>37</v>
      </c>
      <c r="E451" s="1"/>
      <c r="F451" s="1"/>
      <c r="G451" s="1" t="s">
        <v>25</v>
      </c>
      <c r="H451" s="1">
        <v>7</v>
      </c>
      <c r="I451" s="6">
        <v>165.5</v>
      </c>
      <c r="J451" s="6">
        <v>49999</v>
      </c>
      <c r="K451" s="2">
        <v>0</v>
      </c>
      <c r="L451" s="2" t="s">
        <v>3</v>
      </c>
      <c r="M451" s="7" t="s">
        <v>0</v>
      </c>
      <c r="N451" s="7" t="s">
        <v>13</v>
      </c>
      <c r="O451" s="7" t="s">
        <v>185</v>
      </c>
      <c r="P451" s="7" t="s">
        <v>0</v>
      </c>
      <c r="Q451" s="28" t="s">
        <v>186</v>
      </c>
      <c r="R451" s="7" t="s">
        <v>187</v>
      </c>
      <c r="S451" s="7" t="s">
        <v>96</v>
      </c>
      <c r="T451" s="8" t="s">
        <v>25</v>
      </c>
      <c r="U451" s="8">
        <v>7</v>
      </c>
      <c r="V451" s="8">
        <v>165.5</v>
      </c>
      <c r="W451" s="8" t="s">
        <v>196</v>
      </c>
      <c r="X451" s="15">
        <v>44629</v>
      </c>
      <c r="Y451" s="15">
        <v>44629</v>
      </c>
      <c r="Z451" s="17" t="s">
        <v>201</v>
      </c>
      <c r="AA451" s="121">
        <v>45000</v>
      </c>
      <c r="AB451" s="7">
        <v>38</v>
      </c>
      <c r="AC451" s="7">
        <v>14</v>
      </c>
      <c r="AD451" s="15">
        <v>44925</v>
      </c>
      <c r="AE451" s="52">
        <v>700</v>
      </c>
      <c r="AF451" s="52"/>
      <c r="AH451" s="15">
        <v>45358</v>
      </c>
      <c r="AI451" s="28" t="s">
        <v>13</v>
      </c>
      <c r="AJ451" s="7" t="s">
        <v>279</v>
      </c>
      <c r="AK451" s="7" t="s">
        <v>296</v>
      </c>
      <c r="AL451" s="9">
        <v>700</v>
      </c>
      <c r="AN451" s="9" t="s">
        <v>308</v>
      </c>
      <c r="AP451" s="9"/>
      <c r="AQ451" s="9"/>
      <c r="AR451" s="9"/>
      <c r="AW451" s="15">
        <v>45355</v>
      </c>
      <c r="AX451" s="56">
        <v>2396</v>
      </c>
      <c r="BA451" s="81">
        <v>700</v>
      </c>
      <c r="BB451" s="52"/>
      <c r="BD451" s="7"/>
      <c r="CS451" s="9">
        <f t="shared" si="37"/>
        <v>700</v>
      </c>
      <c r="CT451" s="20">
        <f t="shared" si="38"/>
        <v>700</v>
      </c>
      <c r="CU451" s="20">
        <f t="shared" si="35"/>
        <v>0</v>
      </c>
      <c r="CV451" s="24">
        <f t="shared" si="39"/>
        <v>0</v>
      </c>
    </row>
    <row r="452" spans="1:100" ht="12.75" x14ac:dyDescent="0.2">
      <c r="A452" s="7" t="s">
        <v>184</v>
      </c>
      <c r="B452" s="1">
        <v>130</v>
      </c>
      <c r="C452" s="2" t="s">
        <v>36</v>
      </c>
      <c r="D452" s="2" t="s">
        <v>37</v>
      </c>
      <c r="E452" s="1"/>
      <c r="F452" s="1"/>
      <c r="G452" s="1" t="s">
        <v>25</v>
      </c>
      <c r="H452" s="1">
        <v>7</v>
      </c>
      <c r="I452" s="6">
        <v>165.5</v>
      </c>
      <c r="J452" s="6">
        <v>49999</v>
      </c>
      <c r="K452" s="2">
        <v>0</v>
      </c>
      <c r="L452" s="2" t="s">
        <v>3</v>
      </c>
      <c r="M452" s="7" t="s">
        <v>0</v>
      </c>
      <c r="N452" s="7" t="s">
        <v>13</v>
      </c>
      <c r="O452" s="7" t="s">
        <v>185</v>
      </c>
      <c r="P452" s="7" t="s">
        <v>0</v>
      </c>
      <c r="Q452" s="28" t="s">
        <v>186</v>
      </c>
      <c r="R452" s="7" t="s">
        <v>187</v>
      </c>
      <c r="S452" s="7" t="s">
        <v>96</v>
      </c>
      <c r="T452" s="8" t="s">
        <v>25</v>
      </c>
      <c r="U452" s="8">
        <v>7</v>
      </c>
      <c r="V452" s="8">
        <v>165.5</v>
      </c>
      <c r="W452" s="8" t="s">
        <v>196</v>
      </c>
      <c r="X452" s="15">
        <v>44629</v>
      </c>
      <c r="Y452" s="15">
        <v>44629</v>
      </c>
      <c r="Z452" s="17" t="s">
        <v>201</v>
      </c>
      <c r="AA452" s="121">
        <v>45000</v>
      </c>
      <c r="AB452" s="7">
        <v>38</v>
      </c>
      <c r="AC452" s="7">
        <v>15</v>
      </c>
      <c r="AD452" s="15">
        <v>44956</v>
      </c>
      <c r="AE452" s="52">
        <v>700</v>
      </c>
      <c r="AF452" s="52"/>
      <c r="AH452" s="15">
        <v>45385</v>
      </c>
      <c r="AI452" s="28" t="s">
        <v>13</v>
      </c>
      <c r="AJ452" s="7" t="s">
        <v>279</v>
      </c>
      <c r="AK452" s="7" t="s">
        <v>297</v>
      </c>
      <c r="AL452" s="9">
        <v>700</v>
      </c>
      <c r="AN452" s="9" t="s">
        <v>309</v>
      </c>
      <c r="AP452" s="9"/>
      <c r="AQ452" s="9"/>
      <c r="AR452" s="9"/>
      <c r="AW452" s="15">
        <v>45383</v>
      </c>
      <c r="AX452" s="56" t="s">
        <v>339</v>
      </c>
      <c r="BA452" s="81">
        <v>700</v>
      </c>
      <c r="BB452" s="52"/>
      <c r="BD452" s="7"/>
      <c r="CS452" s="9">
        <f t="shared" si="37"/>
        <v>700</v>
      </c>
      <c r="CT452" s="20">
        <f t="shared" si="38"/>
        <v>700</v>
      </c>
      <c r="CU452" s="20">
        <f t="shared" si="35"/>
        <v>0</v>
      </c>
      <c r="CV452" s="24">
        <f t="shared" si="39"/>
        <v>0</v>
      </c>
    </row>
    <row r="453" spans="1:100" ht="12.75" x14ac:dyDescent="0.2">
      <c r="A453" s="7" t="s">
        <v>184</v>
      </c>
      <c r="B453" s="1">
        <v>130</v>
      </c>
      <c r="C453" s="2" t="s">
        <v>36</v>
      </c>
      <c r="D453" s="2" t="s">
        <v>37</v>
      </c>
      <c r="E453" s="1"/>
      <c r="F453" s="1"/>
      <c r="G453" s="1" t="s">
        <v>25</v>
      </c>
      <c r="H453" s="1">
        <v>7</v>
      </c>
      <c r="I453" s="6">
        <v>165.5</v>
      </c>
      <c r="J453" s="6">
        <v>49999</v>
      </c>
      <c r="K453" s="2">
        <v>0</v>
      </c>
      <c r="L453" s="2" t="s">
        <v>3</v>
      </c>
      <c r="M453" s="7" t="s">
        <v>0</v>
      </c>
      <c r="N453" s="7" t="s">
        <v>13</v>
      </c>
      <c r="O453" s="7" t="s">
        <v>185</v>
      </c>
      <c r="P453" s="7" t="s">
        <v>0</v>
      </c>
      <c r="Q453" s="28" t="s">
        <v>186</v>
      </c>
      <c r="R453" s="7" t="s">
        <v>187</v>
      </c>
      <c r="S453" s="7" t="s">
        <v>96</v>
      </c>
      <c r="T453" s="8" t="s">
        <v>25</v>
      </c>
      <c r="U453" s="8">
        <v>7</v>
      </c>
      <c r="V453" s="8">
        <v>165.5</v>
      </c>
      <c r="W453" s="8" t="s">
        <v>196</v>
      </c>
      <c r="X453" s="15">
        <v>44629</v>
      </c>
      <c r="Y453" s="15">
        <v>44629</v>
      </c>
      <c r="Z453" s="17" t="s">
        <v>201</v>
      </c>
      <c r="AA453" s="121">
        <v>45000</v>
      </c>
      <c r="AB453" s="7">
        <v>38</v>
      </c>
      <c r="AC453" s="7">
        <v>16</v>
      </c>
      <c r="AD453" s="15">
        <v>44985</v>
      </c>
      <c r="AE453" s="52">
        <v>700</v>
      </c>
      <c r="AF453" s="52"/>
      <c r="AH453" s="15">
        <v>45420</v>
      </c>
      <c r="AI453" s="28" t="s">
        <v>13</v>
      </c>
      <c r="AJ453" s="7" t="s">
        <v>279</v>
      </c>
      <c r="AK453" s="7" t="s">
        <v>298</v>
      </c>
      <c r="AL453" s="9">
        <v>700</v>
      </c>
      <c r="AN453" s="9" t="s">
        <v>310</v>
      </c>
      <c r="AP453" s="9"/>
      <c r="AQ453" s="9"/>
      <c r="AR453" s="9"/>
      <c r="AW453" s="15">
        <v>45419</v>
      </c>
      <c r="AX453" s="56">
        <v>2630</v>
      </c>
      <c r="BA453" s="81">
        <v>700</v>
      </c>
      <c r="BB453" s="52"/>
      <c r="BD453" s="7"/>
      <c r="CS453" s="9">
        <f t="shared" si="37"/>
        <v>700</v>
      </c>
      <c r="CT453" s="20">
        <f t="shared" si="38"/>
        <v>700</v>
      </c>
      <c r="CU453" s="20">
        <f t="shared" si="35"/>
        <v>0</v>
      </c>
      <c r="CV453" s="24">
        <f t="shared" si="39"/>
        <v>0</v>
      </c>
    </row>
    <row r="454" spans="1:100" ht="12.75" x14ac:dyDescent="0.2">
      <c r="A454" s="7" t="s">
        <v>184</v>
      </c>
      <c r="B454" s="1">
        <v>130</v>
      </c>
      <c r="C454" s="2" t="s">
        <v>36</v>
      </c>
      <c r="D454" s="2" t="s">
        <v>37</v>
      </c>
      <c r="E454" s="1"/>
      <c r="F454" s="1"/>
      <c r="G454" s="1" t="s">
        <v>25</v>
      </c>
      <c r="H454" s="1">
        <v>7</v>
      </c>
      <c r="I454" s="6">
        <v>165.5</v>
      </c>
      <c r="J454" s="6">
        <v>49999</v>
      </c>
      <c r="K454" s="2">
        <v>0</v>
      </c>
      <c r="L454" s="2" t="s">
        <v>3</v>
      </c>
      <c r="M454" s="7" t="s">
        <v>0</v>
      </c>
      <c r="N454" s="7" t="s">
        <v>13</v>
      </c>
      <c r="O454" s="7" t="s">
        <v>185</v>
      </c>
      <c r="P454" s="7" t="s">
        <v>0</v>
      </c>
      <c r="Q454" s="28" t="s">
        <v>186</v>
      </c>
      <c r="R454" s="7" t="s">
        <v>187</v>
      </c>
      <c r="S454" s="7" t="s">
        <v>96</v>
      </c>
      <c r="T454" s="8" t="s">
        <v>25</v>
      </c>
      <c r="U454" s="8">
        <v>7</v>
      </c>
      <c r="V454" s="8">
        <v>165.5</v>
      </c>
      <c r="W454" s="8" t="s">
        <v>196</v>
      </c>
      <c r="X454" s="15">
        <v>44629</v>
      </c>
      <c r="Y454" s="15">
        <v>44629</v>
      </c>
      <c r="Z454" s="17" t="s">
        <v>201</v>
      </c>
      <c r="AA454" s="121">
        <v>45000</v>
      </c>
      <c r="AB454" s="7">
        <v>38</v>
      </c>
      <c r="AC454" s="7">
        <v>17</v>
      </c>
      <c r="AD454" s="15">
        <v>45015</v>
      </c>
      <c r="AE454" s="52">
        <v>700</v>
      </c>
      <c r="AF454" s="52"/>
      <c r="AH454" s="15">
        <v>45456</v>
      </c>
      <c r="AI454" s="28" t="s">
        <v>13</v>
      </c>
      <c r="AJ454" s="7" t="s">
        <v>279</v>
      </c>
      <c r="AK454" s="7" t="s">
        <v>299</v>
      </c>
      <c r="AL454" s="9">
        <v>700</v>
      </c>
      <c r="AN454" s="9" t="s">
        <v>311</v>
      </c>
      <c r="AP454" s="9"/>
      <c r="AQ454" s="9"/>
      <c r="AR454" s="9"/>
      <c r="AW454" s="15">
        <v>45456</v>
      </c>
      <c r="AX454" s="56">
        <v>2781</v>
      </c>
      <c r="BA454" s="81">
        <v>700</v>
      </c>
      <c r="BB454" s="52"/>
      <c r="BD454" s="7"/>
      <c r="CS454" s="9">
        <f t="shared" si="37"/>
        <v>700</v>
      </c>
      <c r="CT454" s="20">
        <f t="shared" si="38"/>
        <v>700</v>
      </c>
      <c r="CU454" s="20">
        <f t="shared" si="35"/>
        <v>0</v>
      </c>
      <c r="CV454" s="24">
        <f t="shared" si="39"/>
        <v>0</v>
      </c>
    </row>
    <row r="455" spans="1:100" ht="12.75" x14ac:dyDescent="0.2">
      <c r="A455" s="7" t="s">
        <v>184</v>
      </c>
      <c r="B455" s="1">
        <v>130</v>
      </c>
      <c r="C455" s="2" t="s">
        <v>36</v>
      </c>
      <c r="D455" s="2" t="s">
        <v>37</v>
      </c>
      <c r="E455" s="1"/>
      <c r="F455" s="1"/>
      <c r="G455" s="1" t="s">
        <v>25</v>
      </c>
      <c r="H455" s="1">
        <v>7</v>
      </c>
      <c r="I455" s="6">
        <v>165.5</v>
      </c>
      <c r="J455" s="6">
        <v>49999</v>
      </c>
      <c r="K455" s="2">
        <v>0</v>
      </c>
      <c r="L455" s="2" t="s">
        <v>3</v>
      </c>
      <c r="M455" s="7" t="s">
        <v>0</v>
      </c>
      <c r="N455" s="7" t="s">
        <v>13</v>
      </c>
      <c r="O455" s="7" t="s">
        <v>185</v>
      </c>
      <c r="P455" s="7" t="s">
        <v>0</v>
      </c>
      <c r="Q455" s="28" t="s">
        <v>186</v>
      </c>
      <c r="R455" s="7" t="s">
        <v>187</v>
      </c>
      <c r="S455" s="7" t="s">
        <v>96</v>
      </c>
      <c r="T455" s="8" t="s">
        <v>25</v>
      </c>
      <c r="U455" s="8">
        <v>7</v>
      </c>
      <c r="V455" s="8">
        <v>165.5</v>
      </c>
      <c r="W455" s="8" t="s">
        <v>196</v>
      </c>
      <c r="X455" s="15">
        <v>44629</v>
      </c>
      <c r="Y455" s="15">
        <v>44629</v>
      </c>
      <c r="Z455" s="17" t="s">
        <v>201</v>
      </c>
      <c r="AA455" s="121">
        <v>45000</v>
      </c>
      <c r="AB455" s="7">
        <v>38</v>
      </c>
      <c r="AC455" s="7">
        <v>18</v>
      </c>
      <c r="AD455" s="15">
        <v>45046</v>
      </c>
      <c r="AE455" s="52">
        <v>700</v>
      </c>
      <c r="AF455" s="52"/>
      <c r="AH455" s="15">
        <v>45483</v>
      </c>
      <c r="AI455" s="28" t="s">
        <v>13</v>
      </c>
      <c r="AJ455" s="7" t="s">
        <v>279</v>
      </c>
      <c r="AK455" s="7" t="s">
        <v>300</v>
      </c>
      <c r="AL455" s="9">
        <v>700</v>
      </c>
      <c r="AN455" s="9" t="s">
        <v>312</v>
      </c>
      <c r="AP455" s="9"/>
      <c r="AQ455" s="9"/>
      <c r="AR455" s="9"/>
      <c r="AW455" s="15">
        <v>45482</v>
      </c>
      <c r="AX455" s="56">
        <v>2887</v>
      </c>
      <c r="BA455" s="81">
        <v>700</v>
      </c>
      <c r="BB455" s="52"/>
      <c r="BD455" s="7"/>
      <c r="CS455" s="9">
        <f t="shared" si="37"/>
        <v>700</v>
      </c>
      <c r="CT455" s="20">
        <f t="shared" si="38"/>
        <v>700</v>
      </c>
      <c r="CU455" s="20">
        <f t="shared" si="35"/>
        <v>0</v>
      </c>
      <c r="CV455" s="24">
        <f t="shared" si="39"/>
        <v>0</v>
      </c>
    </row>
    <row r="456" spans="1:100" ht="12.75" x14ac:dyDescent="0.2">
      <c r="A456" s="7" t="s">
        <v>184</v>
      </c>
      <c r="B456" s="1">
        <v>130</v>
      </c>
      <c r="C456" s="2" t="s">
        <v>36</v>
      </c>
      <c r="D456" s="2" t="s">
        <v>37</v>
      </c>
      <c r="E456" s="1"/>
      <c r="F456" s="1"/>
      <c r="G456" s="1" t="s">
        <v>25</v>
      </c>
      <c r="H456" s="1">
        <v>7</v>
      </c>
      <c r="I456" s="6">
        <v>165.5</v>
      </c>
      <c r="J456" s="6">
        <v>49999</v>
      </c>
      <c r="K456" s="2">
        <v>0</v>
      </c>
      <c r="L456" s="2" t="s">
        <v>3</v>
      </c>
      <c r="M456" s="7" t="s">
        <v>0</v>
      </c>
      <c r="N456" s="7" t="s">
        <v>13</v>
      </c>
      <c r="O456" s="7" t="s">
        <v>185</v>
      </c>
      <c r="P456" s="7" t="s">
        <v>0</v>
      </c>
      <c r="Q456" s="28" t="s">
        <v>186</v>
      </c>
      <c r="R456" s="7" t="s">
        <v>187</v>
      </c>
      <c r="S456" s="7" t="s">
        <v>96</v>
      </c>
      <c r="T456" s="8" t="s">
        <v>25</v>
      </c>
      <c r="U456" s="8">
        <v>7</v>
      </c>
      <c r="V456" s="8">
        <v>165.5</v>
      </c>
      <c r="W456" s="8" t="s">
        <v>196</v>
      </c>
      <c r="X456" s="15">
        <v>44629</v>
      </c>
      <c r="Y456" s="15">
        <v>44629</v>
      </c>
      <c r="Z456" s="17" t="s">
        <v>201</v>
      </c>
      <c r="AA456" s="121">
        <v>45000</v>
      </c>
      <c r="AB456" s="7">
        <v>38</v>
      </c>
      <c r="AC456" s="7">
        <v>19</v>
      </c>
      <c r="AD456" s="15">
        <v>45076</v>
      </c>
      <c r="AE456" s="52">
        <v>700</v>
      </c>
      <c r="AF456" s="52"/>
      <c r="AH456" s="15">
        <v>45518</v>
      </c>
      <c r="AI456" s="28" t="s">
        <v>13</v>
      </c>
      <c r="AJ456" s="7" t="s">
        <v>279</v>
      </c>
      <c r="AK456" s="7" t="s">
        <v>301</v>
      </c>
      <c r="AL456" s="9">
        <v>700</v>
      </c>
      <c r="AN456" s="9" t="s">
        <v>313</v>
      </c>
      <c r="AP456" s="9"/>
      <c r="AQ456" s="9"/>
      <c r="AR456" s="9"/>
      <c r="AW456" s="15">
        <v>45518</v>
      </c>
      <c r="AX456" s="56">
        <v>3040</v>
      </c>
      <c r="BA456" s="81">
        <v>700</v>
      </c>
      <c r="BB456" s="52"/>
      <c r="BD456" s="7"/>
      <c r="CS456" s="9">
        <f t="shared" si="37"/>
        <v>700</v>
      </c>
      <c r="CT456" s="20">
        <f t="shared" si="38"/>
        <v>700</v>
      </c>
      <c r="CU456" s="20">
        <f t="shared" si="35"/>
        <v>0</v>
      </c>
      <c r="CV456" s="24">
        <f t="shared" si="39"/>
        <v>0</v>
      </c>
    </row>
    <row r="457" spans="1:100" ht="12.75" x14ac:dyDescent="0.2">
      <c r="A457" s="7" t="s">
        <v>184</v>
      </c>
      <c r="B457" s="1">
        <v>130</v>
      </c>
      <c r="C457" s="2" t="s">
        <v>36</v>
      </c>
      <c r="D457" s="2" t="s">
        <v>37</v>
      </c>
      <c r="E457" s="1"/>
      <c r="F457" s="1"/>
      <c r="G457" s="1" t="s">
        <v>25</v>
      </c>
      <c r="H457" s="1">
        <v>7</v>
      </c>
      <c r="I457" s="6">
        <v>165.5</v>
      </c>
      <c r="J457" s="6">
        <v>49999</v>
      </c>
      <c r="K457" s="2">
        <v>0</v>
      </c>
      <c r="L457" s="2" t="s">
        <v>3</v>
      </c>
      <c r="M457" s="7" t="s">
        <v>0</v>
      </c>
      <c r="N457" s="7" t="s">
        <v>13</v>
      </c>
      <c r="O457" s="7" t="s">
        <v>185</v>
      </c>
      <c r="P457" s="7" t="s">
        <v>0</v>
      </c>
      <c r="Q457" s="28" t="s">
        <v>186</v>
      </c>
      <c r="R457" s="7" t="s">
        <v>187</v>
      </c>
      <c r="S457" s="7" t="s">
        <v>96</v>
      </c>
      <c r="T457" s="8" t="s">
        <v>25</v>
      </c>
      <c r="U457" s="8">
        <v>7</v>
      </c>
      <c r="V457" s="8">
        <v>165.5</v>
      </c>
      <c r="W457" s="8" t="s">
        <v>196</v>
      </c>
      <c r="X457" s="15">
        <v>44629</v>
      </c>
      <c r="Y457" s="15">
        <v>44629</v>
      </c>
      <c r="Z457" s="17" t="s">
        <v>201</v>
      </c>
      <c r="AA457" s="121">
        <v>45000</v>
      </c>
      <c r="AB457" s="7">
        <v>38</v>
      </c>
      <c r="AC457" s="7">
        <v>20</v>
      </c>
      <c r="AD457" s="15">
        <v>45107</v>
      </c>
      <c r="AE457" s="52">
        <v>700</v>
      </c>
      <c r="AF457" s="52"/>
      <c r="AH457" s="15">
        <v>45555</v>
      </c>
      <c r="AI457" s="28" t="s">
        <v>13</v>
      </c>
      <c r="AJ457" s="7" t="s">
        <v>279</v>
      </c>
      <c r="AK457" s="7" t="s">
        <v>302</v>
      </c>
      <c r="AL457" s="9">
        <v>700</v>
      </c>
      <c r="AN457" s="9" t="s">
        <v>314</v>
      </c>
      <c r="AP457" s="9"/>
      <c r="AQ457" s="9"/>
      <c r="AR457" s="9"/>
      <c r="AW457" s="15">
        <v>45555</v>
      </c>
      <c r="AX457" s="56">
        <v>3186</v>
      </c>
      <c r="BA457" s="81">
        <v>700</v>
      </c>
      <c r="BB457" s="52"/>
      <c r="BD457" s="7"/>
      <c r="CS457" s="9">
        <f t="shared" si="37"/>
        <v>700</v>
      </c>
      <c r="CT457" s="20">
        <f t="shared" si="38"/>
        <v>700</v>
      </c>
      <c r="CU457" s="20">
        <f t="shared" si="35"/>
        <v>0</v>
      </c>
      <c r="CV457" s="24">
        <f t="shared" si="39"/>
        <v>0</v>
      </c>
    </row>
    <row r="458" spans="1:100" ht="12.75" x14ac:dyDescent="0.2">
      <c r="A458" s="7" t="s">
        <v>184</v>
      </c>
      <c r="B458" s="1">
        <v>130</v>
      </c>
      <c r="C458" s="2" t="s">
        <v>36</v>
      </c>
      <c r="D458" s="2" t="s">
        <v>37</v>
      </c>
      <c r="E458" s="1"/>
      <c r="F458" s="1"/>
      <c r="G458" s="1" t="s">
        <v>25</v>
      </c>
      <c r="H458" s="1">
        <v>7</v>
      </c>
      <c r="I458" s="6">
        <v>165.5</v>
      </c>
      <c r="J458" s="6">
        <v>49999</v>
      </c>
      <c r="K458" s="2">
        <v>0</v>
      </c>
      <c r="L458" s="2" t="s">
        <v>3</v>
      </c>
      <c r="M458" s="7" t="s">
        <v>0</v>
      </c>
      <c r="N458" s="7" t="s">
        <v>13</v>
      </c>
      <c r="O458" s="7" t="s">
        <v>185</v>
      </c>
      <c r="P458" s="7" t="s">
        <v>0</v>
      </c>
      <c r="Q458" s="28" t="s">
        <v>186</v>
      </c>
      <c r="R458" s="7" t="s">
        <v>187</v>
      </c>
      <c r="S458" s="7" t="s">
        <v>96</v>
      </c>
      <c r="T458" s="8" t="s">
        <v>25</v>
      </c>
      <c r="U458" s="8">
        <v>7</v>
      </c>
      <c r="V458" s="8">
        <v>165.5</v>
      </c>
      <c r="W458" s="8" t="s">
        <v>196</v>
      </c>
      <c r="X458" s="15">
        <v>44629</v>
      </c>
      <c r="Y458" s="15">
        <v>44629</v>
      </c>
      <c r="Z458" s="17" t="s">
        <v>201</v>
      </c>
      <c r="AA458" s="121">
        <v>45000</v>
      </c>
      <c r="AB458" s="7">
        <v>38</v>
      </c>
      <c r="AC458" s="7">
        <v>21</v>
      </c>
      <c r="AD458" s="15">
        <v>45137</v>
      </c>
      <c r="AE458" s="52">
        <v>700</v>
      </c>
      <c r="AF458" s="52"/>
      <c r="AH458" s="15">
        <v>45577</v>
      </c>
      <c r="AI458" s="28" t="s">
        <v>13</v>
      </c>
      <c r="AJ458" s="7" t="s">
        <v>279</v>
      </c>
      <c r="AK458" s="7" t="s">
        <v>303</v>
      </c>
      <c r="AL458" s="9">
        <v>700</v>
      </c>
      <c r="AN458" s="9" t="s">
        <v>315</v>
      </c>
      <c r="AP458" s="9"/>
      <c r="AQ458" s="9"/>
      <c r="AR458" s="9"/>
      <c r="AW458" s="15">
        <v>45576</v>
      </c>
      <c r="AX458" s="56">
        <v>3275</v>
      </c>
      <c r="BA458" s="81">
        <v>700</v>
      </c>
      <c r="BB458" s="52"/>
      <c r="BD458" s="7"/>
      <c r="CS458" s="9">
        <f t="shared" si="37"/>
        <v>700</v>
      </c>
      <c r="CT458" s="20">
        <f t="shared" si="38"/>
        <v>700</v>
      </c>
      <c r="CU458" s="20">
        <f t="shared" si="35"/>
        <v>0</v>
      </c>
      <c r="CV458" s="24">
        <f t="shared" si="39"/>
        <v>0</v>
      </c>
    </row>
    <row r="459" spans="1:100" ht="12.75" x14ac:dyDescent="0.2">
      <c r="A459" s="7" t="s">
        <v>184</v>
      </c>
      <c r="B459" s="1">
        <v>130</v>
      </c>
      <c r="C459" s="2" t="s">
        <v>36</v>
      </c>
      <c r="D459" s="2" t="s">
        <v>37</v>
      </c>
      <c r="E459" s="1"/>
      <c r="F459" s="1"/>
      <c r="G459" s="1" t="s">
        <v>25</v>
      </c>
      <c r="H459" s="1">
        <v>7</v>
      </c>
      <c r="I459" s="6">
        <v>165.5</v>
      </c>
      <c r="J459" s="6">
        <v>49999</v>
      </c>
      <c r="K459" s="2">
        <v>0</v>
      </c>
      <c r="L459" s="2" t="s">
        <v>3</v>
      </c>
      <c r="M459" s="7" t="s">
        <v>0</v>
      </c>
      <c r="N459" s="7" t="s">
        <v>13</v>
      </c>
      <c r="O459" s="7" t="s">
        <v>185</v>
      </c>
      <c r="P459" s="7" t="s">
        <v>0</v>
      </c>
      <c r="Q459" s="28" t="s">
        <v>186</v>
      </c>
      <c r="R459" s="7" t="s">
        <v>187</v>
      </c>
      <c r="S459" s="7" t="s">
        <v>96</v>
      </c>
      <c r="T459" s="8" t="s">
        <v>25</v>
      </c>
      <c r="U459" s="8">
        <v>7</v>
      </c>
      <c r="V459" s="8">
        <v>165.5</v>
      </c>
      <c r="W459" s="8" t="s">
        <v>196</v>
      </c>
      <c r="X459" s="15">
        <v>44629</v>
      </c>
      <c r="Y459" s="15">
        <v>44629</v>
      </c>
      <c r="Z459" s="17" t="s">
        <v>201</v>
      </c>
      <c r="AA459" s="121">
        <v>45000</v>
      </c>
      <c r="AB459" s="7">
        <v>38</v>
      </c>
      <c r="AC459" s="7">
        <v>22</v>
      </c>
      <c r="AD459" s="15">
        <v>45168</v>
      </c>
      <c r="AE459" s="52">
        <v>700</v>
      </c>
      <c r="AF459" s="52"/>
      <c r="AH459" s="15">
        <v>45614</v>
      </c>
      <c r="AI459" s="28" t="s">
        <v>13</v>
      </c>
      <c r="AJ459" s="7" t="s">
        <v>279</v>
      </c>
      <c r="AK459" s="7" t="s">
        <v>304</v>
      </c>
      <c r="AL459" s="9">
        <v>700</v>
      </c>
      <c r="AN459" s="9" t="s">
        <v>316</v>
      </c>
      <c r="AP459" s="9"/>
      <c r="AQ459" s="9"/>
      <c r="AR459" s="9"/>
      <c r="AW459" s="15">
        <v>45614</v>
      </c>
      <c r="AX459" s="56">
        <v>3414</v>
      </c>
      <c r="BA459" s="81">
        <v>700</v>
      </c>
      <c r="BB459" s="52"/>
      <c r="BD459" s="7"/>
      <c r="CS459" s="9">
        <f t="shared" si="37"/>
        <v>700</v>
      </c>
      <c r="CT459" s="20">
        <f t="shared" si="38"/>
        <v>700</v>
      </c>
      <c r="CU459" s="20">
        <f t="shared" si="35"/>
        <v>0</v>
      </c>
      <c r="CV459" s="24">
        <f t="shared" si="39"/>
        <v>0</v>
      </c>
    </row>
    <row r="460" spans="1:100" ht="12.75" x14ac:dyDescent="0.2">
      <c r="A460" s="7" t="s">
        <v>184</v>
      </c>
      <c r="B460" s="1">
        <v>130</v>
      </c>
      <c r="C460" s="2" t="s">
        <v>36</v>
      </c>
      <c r="D460" s="2" t="s">
        <v>37</v>
      </c>
      <c r="E460" s="1"/>
      <c r="F460" s="1"/>
      <c r="G460" s="1" t="s">
        <v>25</v>
      </c>
      <c r="H460" s="1">
        <v>7</v>
      </c>
      <c r="I460" s="6">
        <v>165.5</v>
      </c>
      <c r="J460" s="6">
        <v>49999</v>
      </c>
      <c r="K460" s="2">
        <v>0</v>
      </c>
      <c r="L460" s="2" t="s">
        <v>3</v>
      </c>
      <c r="M460" s="7" t="s">
        <v>0</v>
      </c>
      <c r="N460" s="7" t="s">
        <v>13</v>
      </c>
      <c r="O460" s="7" t="s">
        <v>185</v>
      </c>
      <c r="P460" s="7" t="s">
        <v>0</v>
      </c>
      <c r="Q460" s="28" t="s">
        <v>186</v>
      </c>
      <c r="R460" s="7" t="s">
        <v>187</v>
      </c>
      <c r="S460" s="7" t="s">
        <v>96</v>
      </c>
      <c r="T460" s="8" t="s">
        <v>25</v>
      </c>
      <c r="U460" s="8">
        <v>7</v>
      </c>
      <c r="V460" s="8">
        <v>165.5</v>
      </c>
      <c r="W460" s="8" t="s">
        <v>196</v>
      </c>
      <c r="X460" s="15">
        <v>44629</v>
      </c>
      <c r="Y460" s="15">
        <v>44629</v>
      </c>
      <c r="Z460" s="17" t="s">
        <v>201</v>
      </c>
      <c r="AA460" s="121">
        <v>45000</v>
      </c>
      <c r="AB460" s="7">
        <v>38</v>
      </c>
      <c r="AC460" s="7">
        <v>23</v>
      </c>
      <c r="AD460" s="15">
        <v>45199</v>
      </c>
      <c r="AE460" s="52">
        <v>700</v>
      </c>
      <c r="AF460" s="52"/>
      <c r="AH460" s="15">
        <v>45652</v>
      </c>
      <c r="AI460" s="28" t="s">
        <v>13</v>
      </c>
      <c r="AJ460" s="7" t="s">
        <v>279</v>
      </c>
      <c r="AK460" s="7" t="s">
        <v>305</v>
      </c>
      <c r="AL460" s="9">
        <v>700</v>
      </c>
      <c r="AN460" s="9" t="s">
        <v>317</v>
      </c>
      <c r="AP460" s="9"/>
      <c r="AQ460" s="9"/>
      <c r="AR460" s="9"/>
      <c r="AW460" s="15">
        <v>45652</v>
      </c>
      <c r="AX460" s="56">
        <v>3525</v>
      </c>
      <c r="BA460" s="81">
        <v>700</v>
      </c>
      <c r="BB460" s="52"/>
      <c r="BD460" s="7"/>
      <c r="CS460" s="9">
        <f t="shared" si="37"/>
        <v>700</v>
      </c>
      <c r="CT460" s="20">
        <f t="shared" si="38"/>
        <v>700</v>
      </c>
      <c r="CU460" s="20">
        <f t="shared" si="35"/>
        <v>0</v>
      </c>
      <c r="CV460" s="24">
        <f t="shared" si="39"/>
        <v>0</v>
      </c>
    </row>
    <row r="461" spans="1:100" ht="12.75" x14ac:dyDescent="0.2">
      <c r="A461" s="7" t="s">
        <v>184</v>
      </c>
      <c r="B461" s="1">
        <v>130</v>
      </c>
      <c r="C461" s="2" t="s">
        <v>36</v>
      </c>
      <c r="D461" s="2" t="s">
        <v>37</v>
      </c>
      <c r="E461" s="1"/>
      <c r="F461" s="1"/>
      <c r="G461" s="1" t="s">
        <v>25</v>
      </c>
      <c r="H461" s="1">
        <v>7</v>
      </c>
      <c r="I461" s="6">
        <v>165.5</v>
      </c>
      <c r="J461" s="6">
        <v>49999</v>
      </c>
      <c r="K461" s="2">
        <v>0</v>
      </c>
      <c r="L461" s="2" t="s">
        <v>3</v>
      </c>
      <c r="M461" s="7" t="s">
        <v>0</v>
      </c>
      <c r="N461" s="7" t="s">
        <v>13</v>
      </c>
      <c r="O461" s="7" t="s">
        <v>185</v>
      </c>
      <c r="P461" s="7" t="s">
        <v>0</v>
      </c>
      <c r="Q461" s="28" t="s">
        <v>186</v>
      </c>
      <c r="R461" s="7" t="s">
        <v>187</v>
      </c>
      <c r="S461" s="7" t="s">
        <v>96</v>
      </c>
      <c r="T461" s="8" t="s">
        <v>25</v>
      </c>
      <c r="U461" s="8">
        <v>7</v>
      </c>
      <c r="V461" s="8">
        <v>165.5</v>
      </c>
      <c r="W461" s="8" t="s">
        <v>196</v>
      </c>
      <c r="X461" s="15">
        <v>44629</v>
      </c>
      <c r="Y461" s="15">
        <v>44629</v>
      </c>
      <c r="Z461" s="17" t="s">
        <v>201</v>
      </c>
      <c r="AA461" s="121">
        <v>45000</v>
      </c>
      <c r="AB461" s="7">
        <v>38</v>
      </c>
      <c r="AC461" s="7">
        <v>24</v>
      </c>
      <c r="AD461" s="15">
        <v>45229</v>
      </c>
      <c r="AE461" s="52">
        <v>700</v>
      </c>
      <c r="AF461" s="52"/>
      <c r="AH461" s="15">
        <v>45680</v>
      </c>
      <c r="AI461" s="28" t="s">
        <v>13</v>
      </c>
      <c r="AJ461" s="7" t="s">
        <v>279</v>
      </c>
      <c r="AK461" s="7" t="s">
        <v>318</v>
      </c>
      <c r="AL461" s="9">
        <v>700</v>
      </c>
      <c r="AN461" s="9" t="s">
        <v>326</v>
      </c>
      <c r="AP461" s="9"/>
      <c r="AQ461" s="9"/>
      <c r="AR461" s="9"/>
      <c r="AW461" s="15">
        <v>45680</v>
      </c>
      <c r="AX461" s="56">
        <v>3646</v>
      </c>
      <c r="BA461" s="81">
        <v>700</v>
      </c>
      <c r="BB461" s="52"/>
      <c r="BD461" s="7"/>
      <c r="CS461" s="9">
        <f t="shared" si="37"/>
        <v>700</v>
      </c>
      <c r="CT461" s="20">
        <f t="shared" si="38"/>
        <v>700</v>
      </c>
      <c r="CU461" s="20">
        <f t="shared" si="35"/>
        <v>0</v>
      </c>
      <c r="CV461" s="24">
        <f t="shared" si="39"/>
        <v>0</v>
      </c>
    </row>
    <row r="462" spans="1:100" ht="12.75" x14ac:dyDescent="0.2">
      <c r="A462" s="7" t="s">
        <v>184</v>
      </c>
      <c r="B462" s="1">
        <v>130</v>
      </c>
      <c r="C462" s="2" t="s">
        <v>36</v>
      </c>
      <c r="D462" s="2" t="s">
        <v>37</v>
      </c>
      <c r="E462" s="1"/>
      <c r="F462" s="1"/>
      <c r="G462" s="1" t="s">
        <v>25</v>
      </c>
      <c r="H462" s="1">
        <v>7</v>
      </c>
      <c r="I462" s="6">
        <v>165.5</v>
      </c>
      <c r="J462" s="6">
        <v>49999</v>
      </c>
      <c r="K462" s="2">
        <v>0</v>
      </c>
      <c r="L462" s="2" t="s">
        <v>3</v>
      </c>
      <c r="M462" s="7" t="s">
        <v>0</v>
      </c>
      <c r="N462" s="7" t="s">
        <v>13</v>
      </c>
      <c r="O462" s="7" t="s">
        <v>185</v>
      </c>
      <c r="P462" s="7" t="s">
        <v>0</v>
      </c>
      <c r="Q462" s="28" t="s">
        <v>186</v>
      </c>
      <c r="R462" s="7" t="s">
        <v>187</v>
      </c>
      <c r="S462" s="7" t="s">
        <v>96</v>
      </c>
      <c r="T462" s="8" t="s">
        <v>25</v>
      </c>
      <c r="U462" s="8">
        <v>7</v>
      </c>
      <c r="V462" s="8">
        <v>165.5</v>
      </c>
      <c r="W462" s="8" t="s">
        <v>196</v>
      </c>
      <c r="X462" s="15">
        <v>44629</v>
      </c>
      <c r="Y462" s="15">
        <v>44629</v>
      </c>
      <c r="Z462" s="17" t="s">
        <v>201</v>
      </c>
      <c r="AA462" s="121">
        <v>45000</v>
      </c>
      <c r="AB462" s="7">
        <v>38</v>
      </c>
      <c r="AC462" s="7">
        <v>25</v>
      </c>
      <c r="AD462" s="15">
        <v>45260</v>
      </c>
      <c r="AE462" s="52">
        <v>700</v>
      </c>
      <c r="AF462" s="52"/>
      <c r="AH462" s="15">
        <v>45698</v>
      </c>
      <c r="AI462" s="28" t="s">
        <v>13</v>
      </c>
      <c r="AJ462" s="7" t="s">
        <v>279</v>
      </c>
      <c r="AK462" s="7" t="s">
        <v>319</v>
      </c>
      <c r="AL462" s="9">
        <v>700</v>
      </c>
      <c r="AN462" s="9" t="s">
        <v>327</v>
      </c>
      <c r="AP462" s="9"/>
      <c r="AQ462" s="9"/>
      <c r="AR462" s="9"/>
      <c r="AW462" s="15">
        <v>45698</v>
      </c>
      <c r="AX462" s="56">
        <v>3740</v>
      </c>
      <c r="BA462" s="81">
        <v>700</v>
      </c>
      <c r="BB462" s="52"/>
      <c r="BD462" s="7"/>
      <c r="CS462" s="9">
        <f t="shared" si="37"/>
        <v>700</v>
      </c>
      <c r="CT462" s="20">
        <f t="shared" si="38"/>
        <v>700</v>
      </c>
      <c r="CU462" s="20">
        <f t="shared" si="35"/>
        <v>0</v>
      </c>
      <c r="CV462" s="24">
        <f t="shared" si="39"/>
        <v>0</v>
      </c>
    </row>
    <row r="463" spans="1:100" ht="12.75" x14ac:dyDescent="0.2">
      <c r="A463" s="7" t="s">
        <v>184</v>
      </c>
      <c r="B463" s="1">
        <v>130</v>
      </c>
      <c r="C463" s="2" t="s">
        <v>36</v>
      </c>
      <c r="D463" s="2" t="s">
        <v>37</v>
      </c>
      <c r="E463" s="1"/>
      <c r="F463" s="1"/>
      <c r="G463" s="1" t="s">
        <v>25</v>
      </c>
      <c r="H463" s="1">
        <v>7</v>
      </c>
      <c r="I463" s="6">
        <v>165.5</v>
      </c>
      <c r="J463" s="6">
        <v>49999</v>
      </c>
      <c r="K463" s="2">
        <v>0</v>
      </c>
      <c r="L463" s="2" t="s">
        <v>3</v>
      </c>
      <c r="M463" s="7" t="s">
        <v>0</v>
      </c>
      <c r="N463" s="7" t="s">
        <v>13</v>
      </c>
      <c r="O463" s="7" t="s">
        <v>185</v>
      </c>
      <c r="P463" s="7" t="s">
        <v>0</v>
      </c>
      <c r="Q463" s="28" t="s">
        <v>186</v>
      </c>
      <c r="R463" s="7" t="s">
        <v>187</v>
      </c>
      <c r="S463" s="7" t="s">
        <v>96</v>
      </c>
      <c r="T463" s="8" t="s">
        <v>25</v>
      </c>
      <c r="U463" s="8">
        <v>7</v>
      </c>
      <c r="V463" s="8">
        <v>165.5</v>
      </c>
      <c r="W463" s="8" t="s">
        <v>196</v>
      </c>
      <c r="X463" s="15">
        <v>44629</v>
      </c>
      <c r="Y463" s="15">
        <v>44629</v>
      </c>
      <c r="Z463" s="17" t="s">
        <v>201</v>
      </c>
      <c r="AA463" s="121">
        <v>45000</v>
      </c>
      <c r="AB463" s="7">
        <v>38</v>
      </c>
      <c r="AC463" s="7">
        <v>26</v>
      </c>
      <c r="AD463" s="15">
        <v>45290</v>
      </c>
      <c r="AE463" s="52">
        <v>700</v>
      </c>
      <c r="AF463" s="52"/>
      <c r="AH463" s="15">
        <v>45736</v>
      </c>
      <c r="AI463" s="28" t="s">
        <v>13</v>
      </c>
      <c r="AJ463" s="7" t="s">
        <v>279</v>
      </c>
      <c r="AK463" s="7" t="s">
        <v>320</v>
      </c>
      <c r="AL463" s="9">
        <v>700</v>
      </c>
      <c r="AN463" s="9" t="s">
        <v>328</v>
      </c>
      <c r="AP463" s="9"/>
      <c r="AQ463" s="9"/>
      <c r="AR463" s="9"/>
      <c r="AW463" s="15">
        <v>45740</v>
      </c>
      <c r="AX463" s="56" t="s">
        <v>340</v>
      </c>
      <c r="BA463" s="81">
        <v>700</v>
      </c>
      <c r="BB463" s="52"/>
      <c r="BD463" s="7"/>
      <c r="CS463" s="9">
        <f t="shared" si="37"/>
        <v>700</v>
      </c>
      <c r="CT463" s="20">
        <f t="shared" si="38"/>
        <v>700</v>
      </c>
      <c r="CU463" s="20">
        <f t="shared" si="35"/>
        <v>0</v>
      </c>
      <c r="CV463" s="24">
        <f t="shared" si="39"/>
        <v>0</v>
      </c>
    </row>
    <row r="464" spans="1:100" ht="12.75" x14ac:dyDescent="0.2">
      <c r="A464" s="7" t="s">
        <v>184</v>
      </c>
      <c r="B464" s="1">
        <v>130</v>
      </c>
      <c r="C464" s="2" t="s">
        <v>36</v>
      </c>
      <c r="D464" s="2" t="s">
        <v>37</v>
      </c>
      <c r="E464" s="1"/>
      <c r="F464" s="1"/>
      <c r="G464" s="1" t="s">
        <v>25</v>
      </c>
      <c r="H464" s="1">
        <v>7</v>
      </c>
      <c r="I464" s="6">
        <v>165.5</v>
      </c>
      <c r="J464" s="6">
        <v>49999</v>
      </c>
      <c r="K464" s="2">
        <v>0</v>
      </c>
      <c r="L464" s="2" t="s">
        <v>3</v>
      </c>
      <c r="M464" s="7" t="s">
        <v>0</v>
      </c>
      <c r="N464" s="7" t="s">
        <v>13</v>
      </c>
      <c r="O464" s="7" t="s">
        <v>185</v>
      </c>
      <c r="P464" s="7" t="s">
        <v>0</v>
      </c>
      <c r="Q464" s="28" t="s">
        <v>186</v>
      </c>
      <c r="R464" s="7" t="s">
        <v>187</v>
      </c>
      <c r="S464" s="7" t="s">
        <v>96</v>
      </c>
      <c r="T464" s="8" t="s">
        <v>25</v>
      </c>
      <c r="U464" s="8">
        <v>7</v>
      </c>
      <c r="V464" s="8">
        <v>165.5</v>
      </c>
      <c r="W464" s="8" t="s">
        <v>196</v>
      </c>
      <c r="X464" s="15">
        <v>44629</v>
      </c>
      <c r="Y464" s="15">
        <v>44629</v>
      </c>
      <c r="Z464" s="17" t="s">
        <v>201</v>
      </c>
      <c r="AA464" s="121">
        <v>45000</v>
      </c>
      <c r="AB464" s="7">
        <v>38</v>
      </c>
      <c r="AC464" s="7">
        <v>27</v>
      </c>
      <c r="AD464" s="15">
        <v>45321</v>
      </c>
      <c r="AE464" s="52">
        <v>700</v>
      </c>
      <c r="AF464" s="52"/>
      <c r="AH464" s="15">
        <v>45756</v>
      </c>
      <c r="AI464" s="28" t="s">
        <v>13</v>
      </c>
      <c r="AJ464" s="7" t="s">
        <v>279</v>
      </c>
      <c r="AK464" s="7" t="s">
        <v>321</v>
      </c>
      <c r="AL464" s="9">
        <v>700</v>
      </c>
      <c r="AN464" s="9" t="s">
        <v>329</v>
      </c>
      <c r="AP464" s="9"/>
      <c r="AQ464" s="9"/>
      <c r="AR464" s="9"/>
      <c r="AW464" s="15">
        <v>45757</v>
      </c>
      <c r="AX464" s="56">
        <v>4000</v>
      </c>
      <c r="BA464" s="81">
        <v>700</v>
      </c>
      <c r="BB464" s="52"/>
      <c r="BD464" s="7"/>
      <c r="CS464" s="9">
        <f t="shared" si="37"/>
        <v>700</v>
      </c>
      <c r="CT464" s="20">
        <f t="shared" si="38"/>
        <v>700</v>
      </c>
      <c r="CU464" s="20">
        <f t="shared" si="35"/>
        <v>0</v>
      </c>
      <c r="CV464" s="24">
        <f t="shared" si="39"/>
        <v>0</v>
      </c>
    </row>
    <row r="465" spans="1:100" ht="12.75" x14ac:dyDescent="0.2">
      <c r="A465" s="7" t="s">
        <v>184</v>
      </c>
      <c r="B465" s="1">
        <v>130</v>
      </c>
      <c r="C465" s="2" t="s">
        <v>36</v>
      </c>
      <c r="D465" s="2" t="s">
        <v>37</v>
      </c>
      <c r="E465" s="1"/>
      <c r="F465" s="1"/>
      <c r="G465" s="1" t="s">
        <v>25</v>
      </c>
      <c r="H465" s="1">
        <v>7</v>
      </c>
      <c r="I465" s="6">
        <v>165.5</v>
      </c>
      <c r="J465" s="6">
        <v>49999</v>
      </c>
      <c r="K465" s="2">
        <v>0</v>
      </c>
      <c r="L465" s="2" t="s">
        <v>3</v>
      </c>
      <c r="M465" s="7" t="s">
        <v>0</v>
      </c>
      <c r="N465" s="7" t="s">
        <v>13</v>
      </c>
      <c r="O465" s="7" t="s">
        <v>185</v>
      </c>
      <c r="P465" s="7" t="s">
        <v>0</v>
      </c>
      <c r="Q465" s="28" t="s">
        <v>186</v>
      </c>
      <c r="R465" s="7" t="s">
        <v>187</v>
      </c>
      <c r="S465" s="7" t="s">
        <v>96</v>
      </c>
      <c r="T465" s="8" t="s">
        <v>25</v>
      </c>
      <c r="U465" s="8">
        <v>7</v>
      </c>
      <c r="V465" s="8">
        <v>165.5</v>
      </c>
      <c r="W465" s="8" t="s">
        <v>196</v>
      </c>
      <c r="X465" s="15">
        <v>44629</v>
      </c>
      <c r="Y465" s="15">
        <v>44629</v>
      </c>
      <c r="Z465" s="17" t="s">
        <v>201</v>
      </c>
      <c r="AA465" s="121">
        <v>45000</v>
      </c>
      <c r="AB465" s="7">
        <v>38</v>
      </c>
      <c r="AC465" s="7">
        <v>28</v>
      </c>
      <c r="AD465" s="15">
        <v>45351</v>
      </c>
      <c r="AE465" s="52">
        <v>700</v>
      </c>
      <c r="AF465" s="52"/>
      <c r="AH465" s="15">
        <v>45804</v>
      </c>
      <c r="AI465" s="28" t="s">
        <v>13</v>
      </c>
      <c r="AJ465" s="7" t="s">
        <v>279</v>
      </c>
      <c r="AK465" s="7" t="s">
        <v>322</v>
      </c>
      <c r="AL465" s="9">
        <v>700</v>
      </c>
      <c r="AN465" s="9" t="s">
        <v>330</v>
      </c>
      <c r="AP465" s="9"/>
      <c r="AQ465" s="9"/>
      <c r="AR465" s="9"/>
      <c r="AW465" s="15">
        <v>45805</v>
      </c>
      <c r="AX465" s="56">
        <v>4221</v>
      </c>
      <c r="BA465" s="81">
        <v>700</v>
      </c>
      <c r="BB465" s="52"/>
      <c r="BD465" s="7"/>
      <c r="CS465" s="9">
        <f t="shared" si="37"/>
        <v>700</v>
      </c>
      <c r="CT465" s="20">
        <f t="shared" si="38"/>
        <v>700</v>
      </c>
      <c r="CU465" s="20">
        <f t="shared" si="35"/>
        <v>0</v>
      </c>
      <c r="CV465" s="24">
        <f t="shared" si="39"/>
        <v>0</v>
      </c>
    </row>
    <row r="466" spans="1:100" ht="12.75" x14ac:dyDescent="0.2">
      <c r="A466" s="7" t="s">
        <v>184</v>
      </c>
      <c r="B466" s="1">
        <v>130</v>
      </c>
      <c r="C466" s="2" t="s">
        <v>36</v>
      </c>
      <c r="D466" s="2" t="s">
        <v>37</v>
      </c>
      <c r="E466" s="1"/>
      <c r="F466" s="1"/>
      <c r="G466" s="1" t="s">
        <v>25</v>
      </c>
      <c r="H466" s="1">
        <v>7</v>
      </c>
      <c r="I466" s="6">
        <v>165.5</v>
      </c>
      <c r="J466" s="6">
        <v>49999</v>
      </c>
      <c r="K466" s="2">
        <v>0</v>
      </c>
      <c r="L466" s="2" t="s">
        <v>3</v>
      </c>
      <c r="M466" s="7" t="s">
        <v>0</v>
      </c>
      <c r="N466" s="7" t="s">
        <v>13</v>
      </c>
      <c r="O466" s="7" t="s">
        <v>185</v>
      </c>
      <c r="P466" s="7" t="s">
        <v>0</v>
      </c>
      <c r="Q466" s="28" t="s">
        <v>186</v>
      </c>
      <c r="R466" s="7" t="s">
        <v>187</v>
      </c>
      <c r="S466" s="7" t="s">
        <v>96</v>
      </c>
      <c r="T466" s="8" t="s">
        <v>25</v>
      </c>
      <c r="U466" s="8">
        <v>7</v>
      </c>
      <c r="V466" s="8">
        <v>165.5</v>
      </c>
      <c r="W466" s="8" t="s">
        <v>196</v>
      </c>
      <c r="X466" s="15">
        <v>44629</v>
      </c>
      <c r="Y466" s="15">
        <v>44629</v>
      </c>
      <c r="Z466" s="17" t="s">
        <v>201</v>
      </c>
      <c r="AA466" s="121">
        <v>45000</v>
      </c>
      <c r="AB466" s="7">
        <v>38</v>
      </c>
      <c r="AC466" s="7">
        <v>29</v>
      </c>
      <c r="AD466" s="15">
        <v>45381</v>
      </c>
      <c r="AE466" s="52">
        <v>700</v>
      </c>
      <c r="AF466" s="52"/>
      <c r="AH466" s="15">
        <v>45839</v>
      </c>
      <c r="AI466" s="28" t="s">
        <v>13</v>
      </c>
      <c r="AJ466" s="7" t="s">
        <v>279</v>
      </c>
      <c r="AK466" s="7" t="s">
        <v>323</v>
      </c>
      <c r="AL466" s="9">
        <v>700</v>
      </c>
      <c r="AN466" s="9" t="s">
        <v>331</v>
      </c>
      <c r="AP466" s="9"/>
      <c r="AQ466" s="9"/>
      <c r="AR466" s="9"/>
      <c r="AW466" s="15">
        <v>45840</v>
      </c>
      <c r="AX466" s="56" t="s">
        <v>341</v>
      </c>
      <c r="BA466" s="81">
        <v>700</v>
      </c>
      <c r="BB466" s="52"/>
      <c r="BD466" s="7"/>
      <c r="CS466" s="9">
        <f t="shared" si="37"/>
        <v>700</v>
      </c>
      <c r="CT466" s="20">
        <f t="shared" si="38"/>
        <v>700</v>
      </c>
      <c r="CU466" s="20">
        <f t="shared" si="35"/>
        <v>0</v>
      </c>
      <c r="CV466" s="24">
        <f t="shared" si="39"/>
        <v>0</v>
      </c>
    </row>
    <row r="467" spans="1:100" ht="12.75" x14ac:dyDescent="0.2">
      <c r="A467" s="7" t="s">
        <v>184</v>
      </c>
      <c r="B467" s="1">
        <v>130</v>
      </c>
      <c r="C467" s="2" t="s">
        <v>36</v>
      </c>
      <c r="D467" s="2" t="s">
        <v>37</v>
      </c>
      <c r="E467" s="1"/>
      <c r="F467" s="1"/>
      <c r="G467" s="1" t="s">
        <v>25</v>
      </c>
      <c r="H467" s="1">
        <v>7</v>
      </c>
      <c r="I467" s="6">
        <v>165.5</v>
      </c>
      <c r="J467" s="6">
        <v>49999</v>
      </c>
      <c r="K467" s="2">
        <v>0</v>
      </c>
      <c r="L467" s="2" t="s">
        <v>3</v>
      </c>
      <c r="M467" s="7" t="s">
        <v>0</v>
      </c>
      <c r="N467" s="7" t="s">
        <v>13</v>
      </c>
      <c r="O467" s="7" t="s">
        <v>185</v>
      </c>
      <c r="P467" s="7" t="s">
        <v>0</v>
      </c>
      <c r="Q467" s="28" t="s">
        <v>186</v>
      </c>
      <c r="R467" s="7" t="s">
        <v>187</v>
      </c>
      <c r="S467" s="7" t="s">
        <v>96</v>
      </c>
      <c r="T467" s="8" t="s">
        <v>25</v>
      </c>
      <c r="U467" s="8">
        <v>7</v>
      </c>
      <c r="V467" s="8">
        <v>165.5</v>
      </c>
      <c r="W467" s="8" t="s">
        <v>196</v>
      </c>
      <c r="X467" s="15">
        <v>44629</v>
      </c>
      <c r="Y467" s="15">
        <v>44629</v>
      </c>
      <c r="Z467" s="17" t="s">
        <v>201</v>
      </c>
      <c r="AA467" s="121">
        <v>45000</v>
      </c>
      <c r="AB467" s="7">
        <v>38</v>
      </c>
      <c r="AC467" s="7">
        <v>30</v>
      </c>
      <c r="AD467" s="15">
        <v>45412</v>
      </c>
      <c r="AE467" s="52">
        <v>700</v>
      </c>
      <c r="AF467" s="52"/>
      <c r="AH467" s="15">
        <v>45874</v>
      </c>
      <c r="AI467" s="28" t="s">
        <v>13</v>
      </c>
      <c r="AJ467" s="7" t="s">
        <v>279</v>
      </c>
      <c r="AK467" s="7" t="s">
        <v>324</v>
      </c>
      <c r="AL467" s="9">
        <v>700</v>
      </c>
      <c r="AN467" s="9" t="s">
        <v>332</v>
      </c>
      <c r="AP467" s="9"/>
      <c r="AQ467" s="9"/>
      <c r="AR467" s="9"/>
      <c r="AW467" s="15">
        <v>45874</v>
      </c>
      <c r="AX467" s="56">
        <v>4524</v>
      </c>
      <c r="BA467" s="81">
        <v>700</v>
      </c>
      <c r="BB467" s="52"/>
      <c r="BD467" s="7"/>
      <c r="CS467" s="9">
        <f t="shared" si="37"/>
        <v>700</v>
      </c>
      <c r="CT467" s="20">
        <f t="shared" si="38"/>
        <v>700</v>
      </c>
      <c r="CU467" s="20">
        <f t="shared" si="35"/>
        <v>0</v>
      </c>
      <c r="CV467" s="24">
        <f t="shared" si="39"/>
        <v>0</v>
      </c>
    </row>
    <row r="468" spans="1:100" ht="12.75" x14ac:dyDescent="0.2">
      <c r="A468" s="7" t="s">
        <v>184</v>
      </c>
      <c r="B468" s="1">
        <v>130</v>
      </c>
      <c r="C468" s="2" t="s">
        <v>36</v>
      </c>
      <c r="D468" s="2" t="s">
        <v>37</v>
      </c>
      <c r="E468" s="1"/>
      <c r="F468" s="1"/>
      <c r="G468" s="1" t="s">
        <v>25</v>
      </c>
      <c r="H468" s="1">
        <v>7</v>
      </c>
      <c r="I468" s="6">
        <v>165.5</v>
      </c>
      <c r="J468" s="6">
        <v>49999</v>
      </c>
      <c r="K468" s="2">
        <v>0</v>
      </c>
      <c r="L468" s="2" t="s">
        <v>3</v>
      </c>
      <c r="M468" s="7" t="s">
        <v>0</v>
      </c>
      <c r="N468" s="7" t="s">
        <v>13</v>
      </c>
      <c r="O468" s="7" t="s">
        <v>185</v>
      </c>
      <c r="P468" s="7" t="s">
        <v>0</v>
      </c>
      <c r="Q468" s="28" t="s">
        <v>186</v>
      </c>
      <c r="R468" s="7" t="s">
        <v>187</v>
      </c>
      <c r="S468" s="7" t="s">
        <v>96</v>
      </c>
      <c r="T468" s="8" t="s">
        <v>25</v>
      </c>
      <c r="U468" s="8">
        <v>7</v>
      </c>
      <c r="V468" s="8">
        <v>165.5</v>
      </c>
      <c r="W468" s="8" t="s">
        <v>196</v>
      </c>
      <c r="X468" s="15">
        <v>44629</v>
      </c>
      <c r="Y468" s="15">
        <v>44629</v>
      </c>
      <c r="Z468" s="17" t="s">
        <v>201</v>
      </c>
      <c r="AA468" s="121">
        <v>45000</v>
      </c>
      <c r="AB468" s="7">
        <v>38</v>
      </c>
      <c r="AC468" s="7">
        <v>31</v>
      </c>
      <c r="AD468" s="15">
        <v>45442</v>
      </c>
      <c r="AE468" s="52">
        <v>700</v>
      </c>
      <c r="AF468" s="52"/>
      <c r="AH468" s="15">
        <v>45910</v>
      </c>
      <c r="AI468" s="28" t="s">
        <v>13</v>
      </c>
      <c r="AJ468" s="7" t="s">
        <v>279</v>
      </c>
      <c r="AK468" s="7" t="s">
        <v>325</v>
      </c>
      <c r="AL468" s="9">
        <v>700</v>
      </c>
      <c r="AN468" s="9" t="s">
        <v>333</v>
      </c>
      <c r="AP468" s="9"/>
      <c r="AQ468" s="9"/>
      <c r="AR468" s="9"/>
      <c r="AW468" s="15">
        <v>45910</v>
      </c>
      <c r="AX468" s="56">
        <v>4700</v>
      </c>
      <c r="BA468" s="81">
        <v>700</v>
      </c>
      <c r="BB468" s="52"/>
      <c r="BD468" s="7"/>
      <c r="CS468" s="9">
        <f t="shared" si="37"/>
        <v>700</v>
      </c>
      <c r="CT468" s="20">
        <f t="shared" si="38"/>
        <v>700</v>
      </c>
      <c r="CU468" s="20">
        <f t="shared" si="35"/>
        <v>0</v>
      </c>
      <c r="CV468" s="24">
        <f t="shared" si="39"/>
        <v>0</v>
      </c>
    </row>
    <row r="469" spans="1:100" x14ac:dyDescent="0.2">
      <c r="A469" s="7" t="s">
        <v>184</v>
      </c>
      <c r="B469" s="1">
        <v>130</v>
      </c>
      <c r="C469" s="2" t="s">
        <v>36</v>
      </c>
      <c r="D469" s="2" t="s">
        <v>37</v>
      </c>
      <c r="E469" s="1"/>
      <c r="F469" s="1"/>
      <c r="G469" s="1" t="s">
        <v>25</v>
      </c>
      <c r="H469" s="1">
        <v>7</v>
      </c>
      <c r="I469" s="6">
        <v>165.5</v>
      </c>
      <c r="J469" s="6">
        <v>49999</v>
      </c>
      <c r="K469" s="2">
        <v>0</v>
      </c>
      <c r="L469" s="2" t="s">
        <v>3</v>
      </c>
      <c r="M469" s="7" t="s">
        <v>0</v>
      </c>
      <c r="N469" s="7" t="s">
        <v>13</v>
      </c>
      <c r="O469" s="7" t="s">
        <v>185</v>
      </c>
      <c r="P469" s="7" t="s">
        <v>0</v>
      </c>
      <c r="Q469" s="28" t="s">
        <v>186</v>
      </c>
      <c r="R469" s="7" t="s">
        <v>187</v>
      </c>
      <c r="S469" s="7" t="s">
        <v>96</v>
      </c>
      <c r="T469" s="8" t="s">
        <v>25</v>
      </c>
      <c r="U469" s="8">
        <v>7</v>
      </c>
      <c r="V469" s="8">
        <v>165.5</v>
      </c>
      <c r="W469" s="8" t="s">
        <v>196</v>
      </c>
      <c r="X469" s="15">
        <v>44629</v>
      </c>
      <c r="Y469" s="15">
        <v>44629</v>
      </c>
      <c r="Z469" s="17" t="s">
        <v>201</v>
      </c>
      <c r="AA469" s="121">
        <v>45000</v>
      </c>
      <c r="AB469" s="7">
        <v>38</v>
      </c>
      <c r="AC469" s="7">
        <v>32</v>
      </c>
      <c r="AD469" s="15">
        <v>45473</v>
      </c>
      <c r="AE469" s="52">
        <v>700</v>
      </c>
      <c r="AF469" s="52"/>
      <c r="AH469" s="15"/>
      <c r="AP469" s="9"/>
      <c r="AQ469" s="9"/>
      <c r="AR469" s="9"/>
      <c r="AW469" s="15"/>
      <c r="AX469" s="56"/>
      <c r="BA469" s="52"/>
      <c r="BB469" s="52"/>
      <c r="BD469" s="7"/>
      <c r="CS469" s="9">
        <f t="shared" si="37"/>
        <v>0</v>
      </c>
      <c r="CT469" s="20">
        <f t="shared" si="38"/>
        <v>0</v>
      </c>
      <c r="CU469" s="20">
        <f t="shared" si="35"/>
        <v>0</v>
      </c>
      <c r="CV469" s="24">
        <f t="shared" si="39"/>
        <v>700</v>
      </c>
    </row>
    <row r="470" spans="1:100" x14ac:dyDescent="0.2">
      <c r="A470" s="7" t="s">
        <v>184</v>
      </c>
      <c r="B470" s="1">
        <v>130</v>
      </c>
      <c r="C470" s="2" t="s">
        <v>36</v>
      </c>
      <c r="D470" s="2" t="s">
        <v>37</v>
      </c>
      <c r="E470" s="1"/>
      <c r="F470" s="1"/>
      <c r="G470" s="1" t="s">
        <v>25</v>
      </c>
      <c r="H470" s="1">
        <v>7</v>
      </c>
      <c r="I470" s="6">
        <v>165.5</v>
      </c>
      <c r="J470" s="6">
        <v>49999</v>
      </c>
      <c r="K470" s="2">
        <v>0</v>
      </c>
      <c r="L470" s="2" t="s">
        <v>3</v>
      </c>
      <c r="M470" s="7" t="s">
        <v>0</v>
      </c>
      <c r="N470" s="7" t="s">
        <v>13</v>
      </c>
      <c r="O470" s="7" t="s">
        <v>185</v>
      </c>
      <c r="P470" s="7" t="s">
        <v>0</v>
      </c>
      <c r="Q470" s="28" t="s">
        <v>186</v>
      </c>
      <c r="R470" s="7" t="s">
        <v>187</v>
      </c>
      <c r="S470" s="7" t="s">
        <v>96</v>
      </c>
      <c r="T470" s="8" t="s">
        <v>25</v>
      </c>
      <c r="U470" s="8">
        <v>7</v>
      </c>
      <c r="V470" s="8">
        <v>165.5</v>
      </c>
      <c r="W470" s="8" t="s">
        <v>196</v>
      </c>
      <c r="X470" s="15">
        <v>44629</v>
      </c>
      <c r="Y470" s="15">
        <v>44629</v>
      </c>
      <c r="Z470" s="17" t="s">
        <v>201</v>
      </c>
      <c r="AA470" s="121">
        <v>45000</v>
      </c>
      <c r="AB470" s="7">
        <v>38</v>
      </c>
      <c r="AC470" s="7">
        <v>33</v>
      </c>
      <c r="AD470" s="15">
        <v>45503</v>
      </c>
      <c r="AE470" s="52">
        <v>700</v>
      </c>
      <c r="AF470" s="52"/>
      <c r="AH470" s="15"/>
      <c r="AP470" s="9"/>
      <c r="AQ470" s="9"/>
      <c r="AR470" s="9"/>
      <c r="AW470" s="15"/>
      <c r="AX470" s="56"/>
      <c r="BA470" s="52"/>
      <c r="BB470" s="52"/>
      <c r="BD470" s="7"/>
      <c r="CS470" s="9">
        <f t="shared" si="37"/>
        <v>0</v>
      </c>
      <c r="CT470" s="20">
        <f t="shared" si="38"/>
        <v>0</v>
      </c>
      <c r="CU470" s="20">
        <f t="shared" si="35"/>
        <v>0</v>
      </c>
      <c r="CV470" s="24">
        <f t="shared" si="39"/>
        <v>700</v>
      </c>
    </row>
    <row r="471" spans="1:100" x14ac:dyDescent="0.2">
      <c r="A471" s="7" t="s">
        <v>184</v>
      </c>
      <c r="B471" s="1">
        <v>130</v>
      </c>
      <c r="C471" s="2" t="s">
        <v>36</v>
      </c>
      <c r="D471" s="2" t="s">
        <v>37</v>
      </c>
      <c r="E471" s="1"/>
      <c r="F471" s="1"/>
      <c r="G471" s="1" t="s">
        <v>25</v>
      </c>
      <c r="H471" s="1">
        <v>7</v>
      </c>
      <c r="I471" s="6">
        <v>165.5</v>
      </c>
      <c r="J471" s="6">
        <v>49999</v>
      </c>
      <c r="K471" s="2">
        <v>0</v>
      </c>
      <c r="L471" s="2" t="s">
        <v>3</v>
      </c>
      <c r="M471" s="7" t="s">
        <v>0</v>
      </c>
      <c r="N471" s="7" t="s">
        <v>13</v>
      </c>
      <c r="O471" s="7" t="s">
        <v>185</v>
      </c>
      <c r="P471" s="7" t="s">
        <v>0</v>
      </c>
      <c r="Q471" s="28" t="s">
        <v>186</v>
      </c>
      <c r="R471" s="7" t="s">
        <v>187</v>
      </c>
      <c r="S471" s="7" t="s">
        <v>96</v>
      </c>
      <c r="T471" s="8" t="s">
        <v>25</v>
      </c>
      <c r="U471" s="8">
        <v>7</v>
      </c>
      <c r="V471" s="8">
        <v>165.5</v>
      </c>
      <c r="W471" s="8" t="s">
        <v>196</v>
      </c>
      <c r="X471" s="15">
        <v>44629</v>
      </c>
      <c r="Y471" s="15">
        <v>44629</v>
      </c>
      <c r="Z471" s="17" t="s">
        <v>201</v>
      </c>
      <c r="AA471" s="121">
        <v>45000</v>
      </c>
      <c r="AB471" s="7">
        <v>38</v>
      </c>
      <c r="AC471" s="7">
        <v>34</v>
      </c>
      <c r="AD471" s="15">
        <v>45534</v>
      </c>
      <c r="AE471" s="52">
        <v>700</v>
      </c>
      <c r="AF471" s="52"/>
      <c r="AH471" s="15"/>
      <c r="AP471" s="9"/>
      <c r="AQ471" s="9"/>
      <c r="AR471" s="9"/>
      <c r="AW471" s="15"/>
      <c r="AX471" s="56"/>
      <c r="BA471" s="52"/>
      <c r="BB471" s="52"/>
      <c r="BD471" s="7"/>
      <c r="CS471" s="9">
        <f t="shared" si="37"/>
        <v>0</v>
      </c>
      <c r="CT471" s="20">
        <f t="shared" si="38"/>
        <v>0</v>
      </c>
      <c r="CU471" s="20">
        <f t="shared" si="35"/>
        <v>0</v>
      </c>
      <c r="CV471" s="24">
        <f t="shared" si="39"/>
        <v>700</v>
      </c>
    </row>
    <row r="472" spans="1:100" x14ac:dyDescent="0.2">
      <c r="A472" s="7" t="s">
        <v>184</v>
      </c>
      <c r="B472" s="1">
        <v>130</v>
      </c>
      <c r="C472" s="2" t="s">
        <v>36</v>
      </c>
      <c r="D472" s="2" t="s">
        <v>37</v>
      </c>
      <c r="E472" s="1"/>
      <c r="F472" s="1"/>
      <c r="G472" s="1" t="s">
        <v>25</v>
      </c>
      <c r="H472" s="1">
        <v>7</v>
      </c>
      <c r="I472" s="6">
        <v>165.5</v>
      </c>
      <c r="J472" s="6">
        <v>49999</v>
      </c>
      <c r="K472" s="2">
        <v>0</v>
      </c>
      <c r="L472" s="2" t="s">
        <v>3</v>
      </c>
      <c r="M472" s="7" t="s">
        <v>0</v>
      </c>
      <c r="N472" s="7" t="s">
        <v>13</v>
      </c>
      <c r="O472" s="7" t="s">
        <v>185</v>
      </c>
      <c r="P472" s="7" t="s">
        <v>0</v>
      </c>
      <c r="Q472" s="28" t="s">
        <v>186</v>
      </c>
      <c r="R472" s="7" t="s">
        <v>187</v>
      </c>
      <c r="S472" s="7" t="s">
        <v>96</v>
      </c>
      <c r="T472" s="8" t="s">
        <v>25</v>
      </c>
      <c r="U472" s="8">
        <v>7</v>
      </c>
      <c r="V472" s="8">
        <v>165.5</v>
      </c>
      <c r="W472" s="8" t="s">
        <v>196</v>
      </c>
      <c r="X472" s="15">
        <v>44629</v>
      </c>
      <c r="Y472" s="15">
        <v>44629</v>
      </c>
      <c r="Z472" s="17" t="s">
        <v>201</v>
      </c>
      <c r="AA472" s="121">
        <v>45000</v>
      </c>
      <c r="AB472" s="7">
        <v>38</v>
      </c>
      <c r="AC472" s="7">
        <v>35</v>
      </c>
      <c r="AD472" s="15">
        <v>45565</v>
      </c>
      <c r="AE472" s="52">
        <v>700</v>
      </c>
      <c r="AF472" s="52"/>
      <c r="AH472" s="15"/>
      <c r="AP472" s="9"/>
      <c r="AQ472" s="9"/>
      <c r="AR472" s="9"/>
      <c r="AW472" s="15"/>
      <c r="AX472" s="56"/>
      <c r="BA472" s="52"/>
      <c r="BB472" s="52"/>
      <c r="BD472" s="7"/>
      <c r="CS472" s="9">
        <f t="shared" si="37"/>
        <v>0</v>
      </c>
      <c r="CT472" s="20">
        <f t="shared" si="38"/>
        <v>0</v>
      </c>
      <c r="CU472" s="20">
        <f t="shared" si="35"/>
        <v>0</v>
      </c>
      <c r="CV472" s="24">
        <f t="shared" si="39"/>
        <v>700</v>
      </c>
    </row>
    <row r="473" spans="1:100" x14ac:dyDescent="0.2">
      <c r="A473" s="7" t="s">
        <v>184</v>
      </c>
      <c r="B473" s="1">
        <v>130</v>
      </c>
      <c r="C473" s="2" t="s">
        <v>36</v>
      </c>
      <c r="D473" s="2" t="s">
        <v>37</v>
      </c>
      <c r="E473" s="1"/>
      <c r="F473" s="1"/>
      <c r="G473" s="1" t="s">
        <v>25</v>
      </c>
      <c r="H473" s="1">
        <v>7</v>
      </c>
      <c r="I473" s="6">
        <v>165.5</v>
      </c>
      <c r="J473" s="6">
        <v>49999</v>
      </c>
      <c r="K473" s="2">
        <v>0</v>
      </c>
      <c r="L473" s="2" t="s">
        <v>3</v>
      </c>
      <c r="M473" s="7" t="s">
        <v>0</v>
      </c>
      <c r="N473" s="7" t="s">
        <v>13</v>
      </c>
      <c r="O473" s="7" t="s">
        <v>185</v>
      </c>
      <c r="P473" s="7" t="s">
        <v>0</v>
      </c>
      <c r="Q473" s="28" t="s">
        <v>186</v>
      </c>
      <c r="R473" s="7" t="s">
        <v>187</v>
      </c>
      <c r="S473" s="7" t="s">
        <v>96</v>
      </c>
      <c r="T473" s="8" t="s">
        <v>25</v>
      </c>
      <c r="U473" s="8">
        <v>7</v>
      </c>
      <c r="V473" s="8">
        <v>165.5</v>
      </c>
      <c r="W473" s="8" t="s">
        <v>196</v>
      </c>
      <c r="X473" s="15">
        <v>44629</v>
      </c>
      <c r="Y473" s="15">
        <v>44629</v>
      </c>
      <c r="Z473" s="17" t="s">
        <v>201</v>
      </c>
      <c r="AA473" s="121">
        <v>45000</v>
      </c>
      <c r="AB473" s="7">
        <v>38</v>
      </c>
      <c r="AC473" s="7">
        <v>36</v>
      </c>
      <c r="AD473" s="15">
        <v>45595</v>
      </c>
      <c r="AE473" s="52">
        <v>700</v>
      </c>
      <c r="AF473" s="52"/>
      <c r="AH473" s="15"/>
      <c r="AP473" s="9"/>
      <c r="AQ473" s="9"/>
      <c r="AR473" s="9"/>
      <c r="AW473" s="15"/>
      <c r="AX473" s="56"/>
      <c r="BA473" s="52"/>
      <c r="BB473" s="52"/>
      <c r="BD473" s="7"/>
      <c r="CS473" s="9">
        <f t="shared" si="37"/>
        <v>0</v>
      </c>
      <c r="CT473" s="20">
        <f t="shared" si="38"/>
        <v>0</v>
      </c>
      <c r="CU473" s="20">
        <f t="shared" si="35"/>
        <v>0</v>
      </c>
      <c r="CV473" s="24">
        <f t="shared" si="39"/>
        <v>700</v>
      </c>
    </row>
    <row r="474" spans="1:100" x14ac:dyDescent="0.2">
      <c r="A474" s="7" t="s">
        <v>184</v>
      </c>
      <c r="B474" s="1">
        <v>130</v>
      </c>
      <c r="C474" s="2" t="s">
        <v>36</v>
      </c>
      <c r="D474" s="2" t="s">
        <v>37</v>
      </c>
      <c r="E474" s="1"/>
      <c r="F474" s="1"/>
      <c r="G474" s="1" t="s">
        <v>25</v>
      </c>
      <c r="H474" s="1">
        <v>7</v>
      </c>
      <c r="I474" s="6">
        <v>165.5</v>
      </c>
      <c r="J474" s="6">
        <v>49999</v>
      </c>
      <c r="K474" s="2">
        <v>0</v>
      </c>
      <c r="L474" s="2" t="s">
        <v>3</v>
      </c>
      <c r="M474" s="7" t="s">
        <v>0</v>
      </c>
      <c r="N474" s="7" t="s">
        <v>13</v>
      </c>
      <c r="O474" s="7" t="s">
        <v>185</v>
      </c>
      <c r="P474" s="7" t="s">
        <v>0</v>
      </c>
      <c r="Q474" s="28" t="s">
        <v>186</v>
      </c>
      <c r="R474" s="7" t="s">
        <v>187</v>
      </c>
      <c r="S474" s="7" t="s">
        <v>96</v>
      </c>
      <c r="T474" s="8" t="s">
        <v>25</v>
      </c>
      <c r="U474" s="8">
        <v>7</v>
      </c>
      <c r="V474" s="8">
        <v>165.5</v>
      </c>
      <c r="W474" s="8" t="s">
        <v>196</v>
      </c>
      <c r="X474" s="15">
        <v>44629</v>
      </c>
      <c r="Y474" s="15">
        <v>44629</v>
      </c>
      <c r="Z474" s="17" t="s">
        <v>201</v>
      </c>
      <c r="AA474" s="121">
        <v>45000</v>
      </c>
      <c r="AB474" s="7">
        <v>38</v>
      </c>
      <c r="AC474" s="7">
        <v>37</v>
      </c>
      <c r="AD474" s="15">
        <v>45626</v>
      </c>
      <c r="AE474" s="52">
        <v>700</v>
      </c>
      <c r="AF474" s="52"/>
      <c r="AH474" s="15"/>
      <c r="AP474" s="9"/>
      <c r="AQ474" s="9"/>
      <c r="AR474" s="9"/>
      <c r="AW474" s="15"/>
      <c r="AX474" s="56"/>
      <c r="BA474" s="52"/>
      <c r="BB474" s="52"/>
      <c r="BD474" s="7"/>
      <c r="CS474" s="9">
        <f t="shared" si="37"/>
        <v>0</v>
      </c>
      <c r="CT474" s="20">
        <f t="shared" si="38"/>
        <v>0</v>
      </c>
      <c r="CU474" s="20">
        <f t="shared" si="35"/>
        <v>0</v>
      </c>
      <c r="CV474" s="24">
        <f t="shared" si="39"/>
        <v>700</v>
      </c>
    </row>
    <row r="475" spans="1:100" x14ac:dyDescent="0.2">
      <c r="A475" s="7" t="s">
        <v>184</v>
      </c>
      <c r="B475" s="1">
        <v>130</v>
      </c>
      <c r="C475" s="2" t="s">
        <v>36</v>
      </c>
      <c r="D475" s="2" t="s">
        <v>37</v>
      </c>
      <c r="E475" s="1"/>
      <c r="F475" s="1"/>
      <c r="G475" s="1" t="s">
        <v>25</v>
      </c>
      <c r="H475" s="1">
        <v>7</v>
      </c>
      <c r="I475" s="6">
        <v>165.5</v>
      </c>
      <c r="J475" s="6">
        <v>49999</v>
      </c>
      <c r="K475" s="2">
        <v>0</v>
      </c>
      <c r="L475" s="2" t="s">
        <v>3</v>
      </c>
      <c r="M475" s="7" t="s">
        <v>0</v>
      </c>
      <c r="N475" s="7" t="s">
        <v>13</v>
      </c>
      <c r="O475" s="7" t="s">
        <v>185</v>
      </c>
      <c r="P475" s="7" t="s">
        <v>0</v>
      </c>
      <c r="Q475" s="28" t="s">
        <v>186</v>
      </c>
      <c r="R475" s="7" t="s">
        <v>187</v>
      </c>
      <c r="S475" s="7" t="s">
        <v>96</v>
      </c>
      <c r="T475" s="8" t="s">
        <v>25</v>
      </c>
      <c r="U475" s="8">
        <v>7</v>
      </c>
      <c r="V475" s="8">
        <v>165.5</v>
      </c>
      <c r="W475" s="8" t="s">
        <v>196</v>
      </c>
      <c r="X475" s="15">
        <v>44629</v>
      </c>
      <c r="Y475" s="15">
        <v>44629</v>
      </c>
      <c r="Z475" s="17" t="s">
        <v>201</v>
      </c>
      <c r="AA475" s="121">
        <v>45000</v>
      </c>
      <c r="AB475" s="7">
        <v>38</v>
      </c>
      <c r="AC475" s="7">
        <v>38</v>
      </c>
      <c r="AD475" s="15">
        <v>45656</v>
      </c>
      <c r="AE475" s="52">
        <v>14600</v>
      </c>
      <c r="AF475" s="52"/>
      <c r="AH475" s="15"/>
      <c r="AP475" s="9"/>
      <c r="AQ475" s="9"/>
      <c r="AR475" s="9"/>
      <c r="AW475" s="7"/>
      <c r="BD475" s="7"/>
      <c r="CS475" s="9">
        <f t="shared" si="37"/>
        <v>0</v>
      </c>
      <c r="CT475" s="20">
        <f t="shared" si="38"/>
        <v>0</v>
      </c>
      <c r="CU475" s="20">
        <f t="shared" si="35"/>
        <v>0</v>
      </c>
      <c r="CV475" s="24">
        <f t="shared" si="39"/>
        <v>14600</v>
      </c>
    </row>
    <row r="476" spans="1:100" x14ac:dyDescent="0.2">
      <c r="A476" s="7" t="s">
        <v>192</v>
      </c>
      <c r="B476" s="1">
        <v>42</v>
      </c>
      <c r="C476" s="2" t="s">
        <v>36</v>
      </c>
      <c r="D476" s="59" t="s">
        <v>37</v>
      </c>
      <c r="E476" s="58"/>
      <c r="F476" s="58"/>
      <c r="G476" s="1" t="s">
        <v>20</v>
      </c>
      <c r="H476" s="1">
        <v>4</v>
      </c>
      <c r="I476" s="18">
        <v>145.38</v>
      </c>
      <c r="J476" s="18">
        <v>47900</v>
      </c>
      <c r="K476" s="2">
        <v>0</v>
      </c>
      <c r="L476" s="2" t="s">
        <v>3</v>
      </c>
      <c r="M476" s="7" t="s">
        <v>15</v>
      </c>
      <c r="N476" s="7" t="s">
        <v>14</v>
      </c>
      <c r="O476" s="7" t="s">
        <v>193</v>
      </c>
      <c r="S476" s="7" t="s">
        <v>96</v>
      </c>
      <c r="T476" s="8" t="s">
        <v>20</v>
      </c>
      <c r="U476" s="8">
        <v>4</v>
      </c>
      <c r="V476" s="8">
        <v>145.38</v>
      </c>
      <c r="W476" s="8" t="s">
        <v>196</v>
      </c>
      <c r="X476" s="15">
        <v>45199</v>
      </c>
      <c r="Y476" s="15">
        <v>45222</v>
      </c>
      <c r="Z476" s="17" t="s">
        <v>201</v>
      </c>
      <c r="AA476" s="118">
        <v>42900</v>
      </c>
      <c r="AB476" s="57">
        <v>82</v>
      </c>
      <c r="AC476" s="57">
        <v>0</v>
      </c>
      <c r="AD476" s="15">
        <v>45199</v>
      </c>
      <c r="AE476" s="52">
        <v>1000</v>
      </c>
      <c r="AF476" s="52"/>
      <c r="AG476" s="7" t="s">
        <v>195</v>
      </c>
      <c r="AH476" s="15">
        <v>45199</v>
      </c>
      <c r="AI476" s="7">
        <v>20610345779</v>
      </c>
      <c r="AJ476" s="7" t="s">
        <v>238</v>
      </c>
      <c r="AK476" s="7" t="s">
        <v>232</v>
      </c>
      <c r="AL476" s="9">
        <v>1000</v>
      </c>
      <c r="AN476" s="9" t="s">
        <v>235</v>
      </c>
      <c r="AP476" s="9"/>
      <c r="AQ476" s="9"/>
      <c r="AR476" s="9"/>
      <c r="AW476" s="15">
        <v>45200</v>
      </c>
      <c r="AX476" s="7">
        <v>28252</v>
      </c>
      <c r="AY476" s="7">
        <v>3780</v>
      </c>
      <c r="AZ476" s="7">
        <v>3.78</v>
      </c>
      <c r="BA476" s="9">
        <v>1000</v>
      </c>
      <c r="BD476" s="7"/>
      <c r="CS476" s="9">
        <f t="shared" si="37"/>
        <v>1000</v>
      </c>
      <c r="CT476" s="20">
        <f t="shared" si="38"/>
        <v>1000</v>
      </c>
      <c r="CU476" s="20">
        <f t="shared" ref="CU476:CU539" si="40">+CS476-CT476</f>
        <v>0</v>
      </c>
      <c r="CV476" s="24">
        <f t="shared" si="39"/>
        <v>0</v>
      </c>
    </row>
    <row r="477" spans="1:100" x14ac:dyDescent="0.2">
      <c r="A477" s="7" t="s">
        <v>192</v>
      </c>
      <c r="B477" s="1">
        <v>42</v>
      </c>
      <c r="C477" s="2" t="s">
        <v>36</v>
      </c>
      <c r="D477" s="59" t="s">
        <v>37</v>
      </c>
      <c r="E477" s="58"/>
      <c r="F477" s="58"/>
      <c r="G477" s="1" t="s">
        <v>20</v>
      </c>
      <c r="H477" s="1">
        <v>4</v>
      </c>
      <c r="I477" s="18">
        <v>145.38</v>
      </c>
      <c r="J477" s="18">
        <v>47900</v>
      </c>
      <c r="K477" s="2">
        <v>0</v>
      </c>
      <c r="L477" s="2" t="s">
        <v>3</v>
      </c>
      <c r="M477" s="7" t="s">
        <v>15</v>
      </c>
      <c r="N477" s="7" t="s">
        <v>14</v>
      </c>
      <c r="O477" s="7" t="s">
        <v>193</v>
      </c>
      <c r="S477" s="7" t="s">
        <v>96</v>
      </c>
      <c r="T477" s="8" t="s">
        <v>20</v>
      </c>
      <c r="U477" s="8">
        <v>4</v>
      </c>
      <c r="V477" s="8">
        <v>145.38</v>
      </c>
      <c r="W477" s="8" t="s">
        <v>196</v>
      </c>
      <c r="X477" s="15">
        <v>45199</v>
      </c>
      <c r="Y477" s="15">
        <v>45222</v>
      </c>
      <c r="Z477" s="17" t="s">
        <v>201</v>
      </c>
      <c r="AA477" s="118">
        <v>42900</v>
      </c>
      <c r="AB477" s="7">
        <v>82</v>
      </c>
      <c r="AC477" s="7">
        <v>0</v>
      </c>
      <c r="AD477" s="15">
        <v>45222</v>
      </c>
      <c r="AE477" s="50">
        <v>1000</v>
      </c>
      <c r="AF477" s="50"/>
      <c r="AG477" s="7" t="s">
        <v>195</v>
      </c>
      <c r="AH477" s="15">
        <v>45222</v>
      </c>
      <c r="AI477" s="7">
        <v>20610345779</v>
      </c>
      <c r="AJ477" s="7" t="s">
        <v>238</v>
      </c>
      <c r="AK477" s="7" t="s">
        <v>233</v>
      </c>
      <c r="AL477" s="20">
        <v>1000</v>
      </c>
      <c r="AM477" s="20"/>
      <c r="AN477" s="20" t="s">
        <v>236</v>
      </c>
      <c r="AO477" s="20"/>
      <c r="AP477" s="20"/>
      <c r="AQ477" s="20"/>
      <c r="AR477" s="20"/>
      <c r="AS477" s="20"/>
      <c r="AT477" s="20"/>
      <c r="AU477" s="20"/>
      <c r="AV477" s="20"/>
      <c r="AW477" s="15">
        <v>45222</v>
      </c>
      <c r="AX477" s="7" t="s">
        <v>194</v>
      </c>
      <c r="BA477" s="20">
        <v>1000</v>
      </c>
      <c r="BB477" s="20"/>
      <c r="BD477" s="7"/>
      <c r="CS477" s="9">
        <f t="shared" si="37"/>
        <v>1000</v>
      </c>
      <c r="CT477" s="20">
        <f t="shared" si="38"/>
        <v>1000</v>
      </c>
      <c r="CU477" s="20">
        <f t="shared" si="40"/>
        <v>0</v>
      </c>
      <c r="CV477" s="24">
        <f t="shared" si="39"/>
        <v>0</v>
      </c>
    </row>
    <row r="478" spans="1:100" x14ac:dyDescent="0.2">
      <c r="A478" s="7" t="s">
        <v>192</v>
      </c>
      <c r="B478" s="1">
        <v>42</v>
      </c>
      <c r="C478" s="2" t="s">
        <v>36</v>
      </c>
      <c r="D478" s="59" t="s">
        <v>37</v>
      </c>
      <c r="E478" s="58"/>
      <c r="F478" s="58"/>
      <c r="G478" s="1" t="s">
        <v>20</v>
      </c>
      <c r="H478" s="1">
        <v>4</v>
      </c>
      <c r="I478" s="18">
        <v>145.38</v>
      </c>
      <c r="J478" s="18">
        <v>47900</v>
      </c>
      <c r="K478" s="2">
        <v>0</v>
      </c>
      <c r="L478" s="2" t="s">
        <v>3</v>
      </c>
      <c r="M478" s="7" t="s">
        <v>15</v>
      </c>
      <c r="N478" s="7" t="s">
        <v>14</v>
      </c>
      <c r="O478" s="7" t="s">
        <v>193</v>
      </c>
      <c r="S478" s="7" t="s">
        <v>96</v>
      </c>
      <c r="T478" s="8" t="s">
        <v>20</v>
      </c>
      <c r="U478" s="8">
        <v>4</v>
      </c>
      <c r="V478" s="8">
        <v>145.38</v>
      </c>
      <c r="W478" s="8" t="s">
        <v>196</v>
      </c>
      <c r="X478" s="15">
        <v>45199</v>
      </c>
      <c r="Y478" s="15">
        <v>45222</v>
      </c>
      <c r="Z478" s="17" t="s">
        <v>201</v>
      </c>
      <c r="AA478" s="118">
        <v>42900</v>
      </c>
      <c r="AB478" s="7">
        <v>82</v>
      </c>
      <c r="AC478" s="7">
        <v>1</v>
      </c>
      <c r="AD478" s="15">
        <v>45260</v>
      </c>
      <c r="AE478" s="50">
        <v>500</v>
      </c>
      <c r="AF478" s="50"/>
      <c r="AG478" s="7" t="s">
        <v>195</v>
      </c>
      <c r="AH478" s="15">
        <v>45261</v>
      </c>
      <c r="AI478" s="7">
        <v>20610345779</v>
      </c>
      <c r="AJ478" s="7" t="s">
        <v>238</v>
      </c>
      <c r="AK478" s="7" t="s">
        <v>234</v>
      </c>
      <c r="AL478" s="20">
        <v>500</v>
      </c>
      <c r="AM478" s="20"/>
      <c r="AN478" s="20" t="s">
        <v>237</v>
      </c>
      <c r="AO478" s="20"/>
      <c r="AP478" s="20"/>
      <c r="AQ478" s="20"/>
      <c r="AR478" s="20"/>
      <c r="AS478" s="20"/>
      <c r="AT478" s="20"/>
      <c r="AU478" s="20"/>
      <c r="AV478" s="20"/>
      <c r="AW478" s="15">
        <v>45260</v>
      </c>
      <c r="AX478" s="7">
        <v>2083</v>
      </c>
      <c r="BA478" s="20">
        <v>500</v>
      </c>
      <c r="BB478" s="20"/>
      <c r="BD478" s="7"/>
      <c r="CS478" s="9">
        <f t="shared" si="37"/>
        <v>500</v>
      </c>
      <c r="CT478" s="20">
        <f t="shared" si="38"/>
        <v>500</v>
      </c>
      <c r="CU478" s="20">
        <f t="shared" si="40"/>
        <v>0</v>
      </c>
      <c r="CV478" s="24">
        <f t="shared" si="39"/>
        <v>0</v>
      </c>
    </row>
    <row r="479" spans="1:100" ht="12.75" x14ac:dyDescent="0.2">
      <c r="A479" s="7" t="s">
        <v>192</v>
      </c>
      <c r="B479" s="1">
        <v>42</v>
      </c>
      <c r="C479" s="2" t="s">
        <v>36</v>
      </c>
      <c r="D479" s="59" t="s">
        <v>37</v>
      </c>
      <c r="E479" s="58"/>
      <c r="F479" s="58"/>
      <c r="G479" s="1" t="s">
        <v>20</v>
      </c>
      <c r="H479" s="1">
        <v>4</v>
      </c>
      <c r="I479" s="18">
        <v>145.38</v>
      </c>
      <c r="J479" s="18">
        <v>47900</v>
      </c>
      <c r="K479" s="2">
        <v>0</v>
      </c>
      <c r="L479" s="2" t="s">
        <v>3</v>
      </c>
      <c r="M479" s="7" t="s">
        <v>15</v>
      </c>
      <c r="N479" s="7" t="s">
        <v>14</v>
      </c>
      <c r="O479" s="7" t="s">
        <v>193</v>
      </c>
      <c r="S479" s="7" t="s">
        <v>96</v>
      </c>
      <c r="T479" s="8" t="s">
        <v>20</v>
      </c>
      <c r="U479" s="8">
        <v>4</v>
      </c>
      <c r="V479" s="8">
        <v>145.38</v>
      </c>
      <c r="W479" s="8" t="s">
        <v>196</v>
      </c>
      <c r="X479" s="15">
        <v>45199</v>
      </c>
      <c r="Y479" s="15">
        <v>45222</v>
      </c>
      <c r="Z479" s="17" t="s">
        <v>201</v>
      </c>
      <c r="AA479" s="118">
        <v>42900</v>
      </c>
      <c r="AB479" s="7">
        <v>82</v>
      </c>
      <c r="AC479" s="7">
        <v>2</v>
      </c>
      <c r="AD479" s="15">
        <v>45290</v>
      </c>
      <c r="AE479" s="50">
        <v>500</v>
      </c>
      <c r="AF479" s="50"/>
      <c r="AG479" s="7" t="s">
        <v>195</v>
      </c>
      <c r="AH479" s="15">
        <v>45294</v>
      </c>
      <c r="AI479" s="7">
        <v>20610345779</v>
      </c>
      <c r="AJ479" s="7" t="s">
        <v>238</v>
      </c>
      <c r="AK479" s="7" t="s">
        <v>239</v>
      </c>
      <c r="AL479" s="20">
        <v>500</v>
      </c>
      <c r="AM479" s="20"/>
      <c r="AN479" s="20" t="s">
        <v>249</v>
      </c>
      <c r="AO479" s="20"/>
      <c r="AP479" s="20"/>
      <c r="AQ479" s="20"/>
      <c r="AR479" s="20"/>
      <c r="AS479" s="20"/>
      <c r="AT479" s="20"/>
      <c r="AU479" s="20"/>
      <c r="AV479" s="20"/>
      <c r="AW479" s="15">
        <v>45290</v>
      </c>
      <c r="AX479" s="81">
        <v>2159</v>
      </c>
      <c r="BA479" s="20">
        <v>500</v>
      </c>
      <c r="BB479" s="20"/>
      <c r="BD479" s="7"/>
      <c r="CS479" s="9">
        <f t="shared" si="37"/>
        <v>500</v>
      </c>
      <c r="CT479" s="20">
        <f t="shared" si="38"/>
        <v>500</v>
      </c>
      <c r="CU479" s="20">
        <f t="shared" si="40"/>
        <v>0</v>
      </c>
      <c r="CV479" s="24">
        <f t="shared" si="39"/>
        <v>0</v>
      </c>
    </row>
    <row r="480" spans="1:100" ht="12.75" x14ac:dyDescent="0.2">
      <c r="A480" s="7" t="s">
        <v>192</v>
      </c>
      <c r="B480" s="1">
        <v>42</v>
      </c>
      <c r="C480" s="2" t="s">
        <v>36</v>
      </c>
      <c r="D480" s="59" t="s">
        <v>37</v>
      </c>
      <c r="E480" s="58"/>
      <c r="F480" s="58"/>
      <c r="G480" s="1" t="s">
        <v>20</v>
      </c>
      <c r="H480" s="1">
        <v>4</v>
      </c>
      <c r="I480" s="18">
        <v>145.38</v>
      </c>
      <c r="J480" s="18">
        <v>47900</v>
      </c>
      <c r="K480" s="2">
        <v>0</v>
      </c>
      <c r="L480" s="2" t="s">
        <v>3</v>
      </c>
      <c r="M480" s="7" t="s">
        <v>15</v>
      </c>
      <c r="N480" s="7" t="s">
        <v>14</v>
      </c>
      <c r="O480" s="7" t="s">
        <v>193</v>
      </c>
      <c r="S480" s="7" t="s">
        <v>96</v>
      </c>
      <c r="T480" s="8" t="s">
        <v>20</v>
      </c>
      <c r="U480" s="8">
        <v>4</v>
      </c>
      <c r="V480" s="8">
        <v>145.38</v>
      </c>
      <c r="W480" s="8" t="s">
        <v>196</v>
      </c>
      <c r="X480" s="15">
        <v>45199</v>
      </c>
      <c r="Y480" s="15">
        <v>45222</v>
      </c>
      <c r="Z480" s="17" t="s">
        <v>201</v>
      </c>
      <c r="AA480" s="118">
        <v>42900</v>
      </c>
      <c r="AB480" s="7">
        <v>82</v>
      </c>
      <c r="AC480" s="7">
        <v>3</v>
      </c>
      <c r="AD480" s="15">
        <v>45321</v>
      </c>
      <c r="AE480" s="50">
        <v>500</v>
      </c>
      <c r="AF480" s="50"/>
      <c r="AG480" s="7" t="s">
        <v>195</v>
      </c>
      <c r="AH480" s="15">
        <v>45335</v>
      </c>
      <c r="AI480" s="7">
        <v>20610345779</v>
      </c>
      <c r="AJ480" s="7" t="s">
        <v>238</v>
      </c>
      <c r="AK480" s="7" t="s">
        <v>240</v>
      </c>
      <c r="AL480" s="20">
        <v>500</v>
      </c>
      <c r="AM480" s="20"/>
      <c r="AN480" s="20" t="s">
        <v>250</v>
      </c>
      <c r="AO480" s="20"/>
      <c r="AP480" s="20"/>
      <c r="AQ480" s="20"/>
      <c r="AR480" s="20"/>
      <c r="AS480" s="20"/>
      <c r="AT480" s="20"/>
      <c r="AU480" s="20"/>
      <c r="AV480" s="20"/>
      <c r="AW480" s="15">
        <v>45323</v>
      </c>
      <c r="AX480" s="81">
        <v>2265</v>
      </c>
      <c r="BA480" s="84">
        <v>385</v>
      </c>
      <c r="BB480" s="20"/>
      <c r="BC480" s="15">
        <v>45323</v>
      </c>
      <c r="BD480" s="81">
        <v>2266</v>
      </c>
      <c r="BG480" s="84">
        <v>115</v>
      </c>
      <c r="CS480" s="9">
        <f t="shared" si="37"/>
        <v>500</v>
      </c>
      <c r="CT480" s="20">
        <f t="shared" si="38"/>
        <v>500</v>
      </c>
      <c r="CU480" s="20">
        <f t="shared" si="40"/>
        <v>0</v>
      </c>
      <c r="CV480" s="24">
        <f t="shared" si="39"/>
        <v>0</v>
      </c>
    </row>
    <row r="481" spans="1:103" ht="12.75" x14ac:dyDescent="0.2">
      <c r="A481" s="7" t="s">
        <v>192</v>
      </c>
      <c r="B481" s="1">
        <v>42</v>
      </c>
      <c r="C481" s="2" t="s">
        <v>36</v>
      </c>
      <c r="D481" s="59" t="s">
        <v>37</v>
      </c>
      <c r="E481" s="58"/>
      <c r="F481" s="58"/>
      <c r="G481" s="1" t="s">
        <v>20</v>
      </c>
      <c r="H481" s="1">
        <v>4</v>
      </c>
      <c r="I481" s="18">
        <v>145.38</v>
      </c>
      <c r="J481" s="18">
        <v>47900</v>
      </c>
      <c r="K481" s="2">
        <v>0</v>
      </c>
      <c r="L481" s="2" t="s">
        <v>3</v>
      </c>
      <c r="M481" s="7" t="s">
        <v>15</v>
      </c>
      <c r="N481" s="7" t="s">
        <v>14</v>
      </c>
      <c r="O481" s="7" t="s">
        <v>193</v>
      </c>
      <c r="S481" s="7" t="s">
        <v>96</v>
      </c>
      <c r="T481" s="8" t="s">
        <v>20</v>
      </c>
      <c r="U481" s="8">
        <v>4</v>
      </c>
      <c r="V481" s="8">
        <v>145.38</v>
      </c>
      <c r="W481" s="8" t="s">
        <v>196</v>
      </c>
      <c r="X481" s="15">
        <v>45199</v>
      </c>
      <c r="Y481" s="15">
        <v>45222</v>
      </c>
      <c r="Z481" s="17" t="s">
        <v>201</v>
      </c>
      <c r="AA481" s="118">
        <v>42900</v>
      </c>
      <c r="AB481" s="7">
        <v>82</v>
      </c>
      <c r="AC481" s="7">
        <v>4</v>
      </c>
      <c r="AD481" s="15">
        <v>45351</v>
      </c>
      <c r="AE481" s="50">
        <v>500</v>
      </c>
      <c r="AF481" s="50"/>
      <c r="AG481" s="7" t="s">
        <v>195</v>
      </c>
      <c r="AH481" s="15">
        <v>45356</v>
      </c>
      <c r="AI481" s="7">
        <v>20610345779</v>
      </c>
      <c r="AJ481" s="7" t="s">
        <v>238</v>
      </c>
      <c r="AK481" s="7" t="s">
        <v>241</v>
      </c>
      <c r="AL481" s="20">
        <v>500</v>
      </c>
      <c r="AM481" s="20"/>
      <c r="AN481" s="20" t="s">
        <v>251</v>
      </c>
      <c r="AO481" s="20"/>
      <c r="AP481" s="20"/>
      <c r="AQ481" s="20"/>
      <c r="AR481" s="20"/>
      <c r="AS481" s="20"/>
      <c r="AT481" s="20"/>
      <c r="AU481" s="20"/>
      <c r="AV481" s="20"/>
      <c r="AW481" s="15">
        <v>45351</v>
      </c>
      <c r="AX481" s="81">
        <v>2360</v>
      </c>
      <c r="BA481" s="20">
        <v>500</v>
      </c>
      <c r="BB481" s="20"/>
      <c r="BD481" s="7"/>
      <c r="CS481" s="9">
        <f t="shared" si="37"/>
        <v>500</v>
      </c>
      <c r="CT481" s="20">
        <f t="shared" si="38"/>
        <v>500</v>
      </c>
      <c r="CU481" s="20">
        <f t="shared" si="40"/>
        <v>0</v>
      </c>
      <c r="CV481" s="24">
        <f t="shared" si="39"/>
        <v>0</v>
      </c>
    </row>
    <row r="482" spans="1:103" x14ac:dyDescent="0.2">
      <c r="A482" s="7" t="s">
        <v>192</v>
      </c>
      <c r="B482" s="1">
        <v>42</v>
      </c>
      <c r="C482" s="2" t="s">
        <v>36</v>
      </c>
      <c r="D482" s="59" t="s">
        <v>37</v>
      </c>
      <c r="E482" s="58"/>
      <c r="F482" s="58"/>
      <c r="G482" s="1" t="s">
        <v>20</v>
      </c>
      <c r="H482" s="1">
        <v>4</v>
      </c>
      <c r="I482" s="18">
        <v>145.38</v>
      </c>
      <c r="J482" s="18">
        <v>47900</v>
      </c>
      <c r="K482" s="2">
        <v>0</v>
      </c>
      <c r="L482" s="2" t="s">
        <v>3</v>
      </c>
      <c r="M482" s="7" t="s">
        <v>15</v>
      </c>
      <c r="N482" s="7" t="s">
        <v>14</v>
      </c>
      <c r="O482" s="7" t="s">
        <v>193</v>
      </c>
      <c r="S482" s="7" t="s">
        <v>96</v>
      </c>
      <c r="T482" s="8" t="s">
        <v>20</v>
      </c>
      <c r="U482" s="8">
        <v>4</v>
      </c>
      <c r="V482" s="8">
        <v>145.38</v>
      </c>
      <c r="W482" s="8" t="s">
        <v>196</v>
      </c>
      <c r="X482" s="15">
        <v>45199</v>
      </c>
      <c r="Y482" s="15">
        <v>45222</v>
      </c>
      <c r="Z482" s="17" t="s">
        <v>201</v>
      </c>
      <c r="AA482" s="118">
        <v>42900</v>
      </c>
      <c r="AB482" s="7">
        <v>82</v>
      </c>
      <c r="AC482" s="7">
        <v>5</v>
      </c>
      <c r="AD482" s="15">
        <v>45381</v>
      </c>
      <c r="AE482" s="50">
        <v>500</v>
      </c>
      <c r="AF482" s="50"/>
      <c r="AG482" s="7" t="s">
        <v>195</v>
      </c>
      <c r="AH482" s="15">
        <v>45393</v>
      </c>
      <c r="AI482" s="7">
        <v>20610345779</v>
      </c>
      <c r="AJ482" s="7" t="s">
        <v>238</v>
      </c>
      <c r="AK482" s="7" t="s">
        <v>242</v>
      </c>
      <c r="AL482" s="20">
        <v>500</v>
      </c>
      <c r="AM482" s="20"/>
      <c r="AN482" s="20" t="s">
        <v>252</v>
      </c>
      <c r="AO482" s="20"/>
      <c r="AP482" s="20"/>
      <c r="AQ482" s="20"/>
      <c r="AR482" s="20"/>
      <c r="AS482" s="20"/>
      <c r="AT482" s="20"/>
      <c r="AU482" s="20"/>
      <c r="AV482" s="20"/>
      <c r="AW482" s="15">
        <v>45381</v>
      </c>
      <c r="AX482" s="7">
        <v>2494</v>
      </c>
      <c r="BA482" s="20">
        <v>500</v>
      </c>
      <c r="BB482" s="20"/>
      <c r="BD482" s="7"/>
      <c r="CS482" s="9">
        <f t="shared" si="37"/>
        <v>500</v>
      </c>
      <c r="CT482" s="20">
        <f t="shared" si="38"/>
        <v>500</v>
      </c>
      <c r="CU482" s="20">
        <f t="shared" si="40"/>
        <v>0</v>
      </c>
      <c r="CV482" s="24">
        <f t="shared" si="39"/>
        <v>0</v>
      </c>
    </row>
    <row r="483" spans="1:103" x14ac:dyDescent="0.2">
      <c r="A483" s="7" t="s">
        <v>192</v>
      </c>
      <c r="B483" s="1">
        <v>42</v>
      </c>
      <c r="C483" s="2" t="s">
        <v>36</v>
      </c>
      <c r="D483" s="59" t="s">
        <v>37</v>
      </c>
      <c r="E483" s="58"/>
      <c r="F483" s="58"/>
      <c r="G483" s="1" t="s">
        <v>20</v>
      </c>
      <c r="H483" s="1">
        <v>4</v>
      </c>
      <c r="I483" s="18">
        <v>145.38</v>
      </c>
      <c r="J483" s="18">
        <v>47900</v>
      </c>
      <c r="K483" s="2">
        <v>0</v>
      </c>
      <c r="L483" s="2" t="s">
        <v>3</v>
      </c>
      <c r="M483" s="7" t="s">
        <v>15</v>
      </c>
      <c r="N483" s="7" t="s">
        <v>14</v>
      </c>
      <c r="O483" s="7" t="s">
        <v>193</v>
      </c>
      <c r="S483" s="7" t="s">
        <v>96</v>
      </c>
      <c r="T483" s="8" t="s">
        <v>20</v>
      </c>
      <c r="U483" s="8">
        <v>4</v>
      </c>
      <c r="V483" s="8">
        <v>145.38</v>
      </c>
      <c r="W483" s="8" t="s">
        <v>196</v>
      </c>
      <c r="X483" s="15">
        <v>45199</v>
      </c>
      <c r="Y483" s="15">
        <v>45222</v>
      </c>
      <c r="Z483" s="17" t="s">
        <v>201</v>
      </c>
      <c r="AA483" s="118">
        <v>42900</v>
      </c>
      <c r="AB483" s="7">
        <v>82</v>
      </c>
      <c r="AC483" s="7">
        <v>6</v>
      </c>
      <c r="AD483" s="15">
        <v>45412</v>
      </c>
      <c r="AE483" s="50">
        <v>500</v>
      </c>
      <c r="AF483" s="50"/>
      <c r="AG483" s="7" t="s">
        <v>195</v>
      </c>
      <c r="AH483" s="15">
        <v>45435</v>
      </c>
      <c r="AI483" s="7">
        <v>20610345779</v>
      </c>
      <c r="AJ483" s="7" t="s">
        <v>238</v>
      </c>
      <c r="AK483" s="7" t="s">
        <v>243</v>
      </c>
      <c r="AL483" s="20">
        <v>500</v>
      </c>
      <c r="AM483" s="20"/>
      <c r="AN483" s="20" t="s">
        <v>253</v>
      </c>
      <c r="AO483" s="20"/>
      <c r="AP483" s="20"/>
      <c r="AQ483" s="20"/>
      <c r="AR483" s="20"/>
      <c r="AS483" s="20"/>
      <c r="AT483" s="20"/>
      <c r="AU483" s="20"/>
      <c r="AV483" s="20"/>
      <c r="AW483" s="15">
        <v>45412</v>
      </c>
      <c r="AX483" s="7">
        <v>2584</v>
      </c>
      <c r="BA483" s="20">
        <v>500</v>
      </c>
      <c r="BB483" s="20"/>
      <c r="BD483" s="7"/>
      <c r="CS483" s="9">
        <f t="shared" si="37"/>
        <v>500</v>
      </c>
      <c r="CT483" s="20">
        <f t="shared" si="38"/>
        <v>500</v>
      </c>
      <c r="CU483" s="20">
        <f t="shared" si="40"/>
        <v>0</v>
      </c>
      <c r="CV483" s="24">
        <f t="shared" si="39"/>
        <v>0</v>
      </c>
    </row>
    <row r="484" spans="1:103" ht="12.75" x14ac:dyDescent="0.2">
      <c r="A484" s="7" t="s">
        <v>192</v>
      </c>
      <c r="B484" s="1">
        <v>42</v>
      </c>
      <c r="C484" s="2" t="s">
        <v>36</v>
      </c>
      <c r="D484" s="59" t="s">
        <v>37</v>
      </c>
      <c r="E484" s="58"/>
      <c r="F484" s="58"/>
      <c r="G484" s="1" t="s">
        <v>20</v>
      </c>
      <c r="H484" s="1">
        <v>4</v>
      </c>
      <c r="I484" s="18">
        <v>145.38</v>
      </c>
      <c r="J484" s="18">
        <v>47900</v>
      </c>
      <c r="K484" s="2">
        <v>0</v>
      </c>
      <c r="L484" s="2" t="s">
        <v>3</v>
      </c>
      <c r="M484" s="7" t="s">
        <v>15</v>
      </c>
      <c r="N484" s="7" t="s">
        <v>14</v>
      </c>
      <c r="O484" s="7" t="s">
        <v>193</v>
      </c>
      <c r="S484" s="7" t="s">
        <v>96</v>
      </c>
      <c r="T484" s="8" t="s">
        <v>20</v>
      </c>
      <c r="U484" s="8">
        <v>4</v>
      </c>
      <c r="V484" s="8">
        <v>145.38</v>
      </c>
      <c r="W484" s="8" t="s">
        <v>196</v>
      </c>
      <c r="X484" s="15">
        <v>45199</v>
      </c>
      <c r="Y484" s="15">
        <v>45222</v>
      </c>
      <c r="Z484" s="17" t="s">
        <v>201</v>
      </c>
      <c r="AA484" s="118">
        <v>42900</v>
      </c>
      <c r="AB484" s="7">
        <v>82</v>
      </c>
      <c r="AC484" s="7">
        <v>7</v>
      </c>
      <c r="AD484" s="15">
        <v>45442</v>
      </c>
      <c r="AE484" s="50">
        <v>500</v>
      </c>
      <c r="AF484" s="50"/>
      <c r="AG484" s="7" t="s">
        <v>195</v>
      </c>
      <c r="AH484" s="15">
        <v>45446</v>
      </c>
      <c r="AI484" s="7">
        <v>20610345779</v>
      </c>
      <c r="AJ484" s="7" t="s">
        <v>238</v>
      </c>
      <c r="AK484" s="7" t="s">
        <v>244</v>
      </c>
      <c r="AL484" s="20">
        <v>500</v>
      </c>
      <c r="AM484" s="20"/>
      <c r="AN484" s="20" t="s">
        <v>254</v>
      </c>
      <c r="AO484" s="20"/>
      <c r="AP484" s="20"/>
      <c r="AQ484" s="20"/>
      <c r="AR484" s="20"/>
      <c r="AS484" s="20"/>
      <c r="AT484" s="20"/>
      <c r="AU484" s="20"/>
      <c r="AV484" s="20"/>
      <c r="AW484" s="15">
        <v>45443</v>
      </c>
      <c r="AX484" s="81">
        <v>2722</v>
      </c>
      <c r="BA484" s="20">
        <v>500</v>
      </c>
      <c r="BB484" s="20"/>
      <c r="BD484" s="7"/>
      <c r="CS484" s="9">
        <f t="shared" si="37"/>
        <v>500</v>
      </c>
      <c r="CT484" s="20">
        <f t="shared" si="38"/>
        <v>500</v>
      </c>
      <c r="CU484" s="20">
        <f t="shared" si="40"/>
        <v>0</v>
      </c>
      <c r="CV484" s="24">
        <f t="shared" si="39"/>
        <v>0</v>
      </c>
    </row>
    <row r="485" spans="1:103" ht="12.75" x14ac:dyDescent="0.2">
      <c r="A485" s="7" t="s">
        <v>192</v>
      </c>
      <c r="B485" s="1">
        <v>42</v>
      </c>
      <c r="C485" s="2" t="s">
        <v>36</v>
      </c>
      <c r="D485" s="59" t="s">
        <v>37</v>
      </c>
      <c r="E485" s="58"/>
      <c r="F485" s="58"/>
      <c r="G485" s="1" t="s">
        <v>20</v>
      </c>
      <c r="H485" s="1">
        <v>4</v>
      </c>
      <c r="I485" s="18">
        <v>145.38</v>
      </c>
      <c r="J485" s="18">
        <v>47900</v>
      </c>
      <c r="K485" s="2">
        <v>0</v>
      </c>
      <c r="L485" s="2" t="s">
        <v>3</v>
      </c>
      <c r="M485" s="7" t="s">
        <v>15</v>
      </c>
      <c r="N485" s="7" t="s">
        <v>14</v>
      </c>
      <c r="O485" s="7" t="s">
        <v>193</v>
      </c>
      <c r="S485" s="7" t="s">
        <v>96</v>
      </c>
      <c r="T485" s="8" t="s">
        <v>20</v>
      </c>
      <c r="U485" s="8">
        <v>4</v>
      </c>
      <c r="V485" s="8">
        <v>145.38</v>
      </c>
      <c r="W485" s="8" t="s">
        <v>196</v>
      </c>
      <c r="X485" s="15">
        <v>45199</v>
      </c>
      <c r="Y485" s="15">
        <v>45222</v>
      </c>
      <c r="Z485" s="17" t="s">
        <v>201</v>
      </c>
      <c r="AA485" s="118">
        <v>42900</v>
      </c>
      <c r="AB485" s="7">
        <v>82</v>
      </c>
      <c r="AC485" s="7">
        <v>8</v>
      </c>
      <c r="AD485" s="15">
        <v>45473</v>
      </c>
      <c r="AE485" s="50">
        <v>500</v>
      </c>
      <c r="AF485" s="50"/>
      <c r="AG485" s="7" t="s">
        <v>195</v>
      </c>
      <c r="AH485" s="15">
        <v>45477</v>
      </c>
      <c r="AI485" s="7">
        <v>20610345779</v>
      </c>
      <c r="AJ485" s="7" t="s">
        <v>238</v>
      </c>
      <c r="AK485" s="7" t="s">
        <v>245</v>
      </c>
      <c r="AL485" s="20">
        <v>500</v>
      </c>
      <c r="AM485" s="20"/>
      <c r="AN485" s="20" t="s">
        <v>255</v>
      </c>
      <c r="AO485" s="20"/>
      <c r="AP485" s="20"/>
      <c r="AQ485" s="20"/>
      <c r="AR485" s="20"/>
      <c r="AS485" s="20"/>
      <c r="AT485" s="20"/>
      <c r="AU485" s="20"/>
      <c r="AV485" s="20"/>
      <c r="AW485" s="15">
        <v>45477</v>
      </c>
      <c r="AX485" s="81">
        <v>2854</v>
      </c>
      <c r="BA485" s="20">
        <v>500</v>
      </c>
      <c r="BB485" s="20"/>
      <c r="BD485" s="7"/>
      <c r="CS485" s="9">
        <f t="shared" si="37"/>
        <v>500</v>
      </c>
      <c r="CT485" s="20">
        <f t="shared" si="38"/>
        <v>500</v>
      </c>
      <c r="CU485" s="20">
        <f t="shared" si="40"/>
        <v>0</v>
      </c>
      <c r="CV485" s="24">
        <f t="shared" si="39"/>
        <v>0</v>
      </c>
    </row>
    <row r="486" spans="1:103" ht="12.75" x14ac:dyDescent="0.2">
      <c r="A486" s="7" t="s">
        <v>192</v>
      </c>
      <c r="B486" s="1">
        <v>42</v>
      </c>
      <c r="C486" s="2" t="s">
        <v>36</v>
      </c>
      <c r="D486" s="59" t="s">
        <v>37</v>
      </c>
      <c r="E486" s="58"/>
      <c r="F486" s="58"/>
      <c r="G486" s="1" t="s">
        <v>20</v>
      </c>
      <c r="H486" s="1">
        <v>4</v>
      </c>
      <c r="I486" s="18">
        <v>145.38</v>
      </c>
      <c r="J486" s="18">
        <v>47900</v>
      </c>
      <c r="K486" s="2">
        <v>0</v>
      </c>
      <c r="L486" s="2" t="s">
        <v>3</v>
      </c>
      <c r="M486" s="7" t="s">
        <v>15</v>
      </c>
      <c r="N486" s="7" t="s">
        <v>14</v>
      </c>
      <c r="O486" s="7" t="s">
        <v>193</v>
      </c>
      <c r="S486" s="7" t="s">
        <v>96</v>
      </c>
      <c r="T486" s="8" t="s">
        <v>20</v>
      </c>
      <c r="U486" s="8">
        <v>4</v>
      </c>
      <c r="V486" s="8">
        <v>145.38</v>
      </c>
      <c r="W486" s="8" t="s">
        <v>196</v>
      </c>
      <c r="X486" s="15">
        <v>45199</v>
      </c>
      <c r="Y486" s="15">
        <v>45222</v>
      </c>
      <c r="Z486" s="17" t="s">
        <v>201</v>
      </c>
      <c r="AA486" s="118">
        <v>42900</v>
      </c>
      <c r="AB486" s="7">
        <v>82</v>
      </c>
      <c r="AC486" s="7">
        <v>9</v>
      </c>
      <c r="AD486" s="15">
        <v>45503</v>
      </c>
      <c r="AE486" s="50">
        <v>500</v>
      </c>
      <c r="AF486" s="50"/>
      <c r="AG486" s="7" t="s">
        <v>195</v>
      </c>
      <c r="AH486" s="15">
        <v>45511</v>
      </c>
      <c r="AI486" s="7">
        <v>20610345779</v>
      </c>
      <c r="AJ486" s="7" t="s">
        <v>238</v>
      </c>
      <c r="AK486" s="7" t="s">
        <v>246</v>
      </c>
      <c r="AL486" s="20">
        <v>500</v>
      </c>
      <c r="AM486" s="20"/>
      <c r="AN486" s="20" t="s">
        <v>256</v>
      </c>
      <c r="AO486" s="20"/>
      <c r="AP486" s="20"/>
      <c r="AQ486" s="20"/>
      <c r="AR486" s="20"/>
      <c r="AS486" s="20"/>
      <c r="AT486" s="20"/>
      <c r="AU486" s="20"/>
      <c r="AV486" s="20"/>
      <c r="AW486" s="15">
        <v>45511</v>
      </c>
      <c r="AX486" s="81">
        <v>2999</v>
      </c>
      <c r="BA486" s="20">
        <v>500</v>
      </c>
      <c r="BB486" s="20"/>
      <c r="BD486" s="7"/>
      <c r="CS486" s="9">
        <f t="shared" si="37"/>
        <v>500</v>
      </c>
      <c r="CT486" s="20">
        <f t="shared" si="38"/>
        <v>500</v>
      </c>
      <c r="CU486" s="20">
        <f t="shared" si="40"/>
        <v>0</v>
      </c>
      <c r="CV486" s="24">
        <f t="shared" si="39"/>
        <v>0</v>
      </c>
    </row>
    <row r="487" spans="1:103" ht="12.75" x14ac:dyDescent="0.2">
      <c r="A487" s="7" t="s">
        <v>192</v>
      </c>
      <c r="B487" s="1">
        <v>42</v>
      </c>
      <c r="C487" s="2" t="s">
        <v>36</v>
      </c>
      <c r="D487" s="59" t="s">
        <v>37</v>
      </c>
      <c r="E487" s="58"/>
      <c r="F487" s="58"/>
      <c r="G487" s="1" t="s">
        <v>20</v>
      </c>
      <c r="H487" s="1">
        <v>4</v>
      </c>
      <c r="I487" s="18">
        <v>145.38</v>
      </c>
      <c r="J487" s="18">
        <v>47900</v>
      </c>
      <c r="K487" s="2">
        <v>0</v>
      </c>
      <c r="L487" s="2" t="s">
        <v>3</v>
      </c>
      <c r="M487" s="7" t="s">
        <v>15</v>
      </c>
      <c r="N487" s="7" t="s">
        <v>14</v>
      </c>
      <c r="O487" s="7" t="s">
        <v>193</v>
      </c>
      <c r="S487" s="7" t="s">
        <v>96</v>
      </c>
      <c r="T487" s="8" t="s">
        <v>20</v>
      </c>
      <c r="U487" s="8">
        <v>4</v>
      </c>
      <c r="V487" s="8">
        <v>145.38</v>
      </c>
      <c r="W487" s="8" t="s">
        <v>196</v>
      </c>
      <c r="X487" s="15">
        <v>45199</v>
      </c>
      <c r="Y487" s="15">
        <v>45222</v>
      </c>
      <c r="Z487" s="17" t="s">
        <v>201</v>
      </c>
      <c r="AA487" s="118">
        <v>42900</v>
      </c>
      <c r="AB487" s="7">
        <v>82</v>
      </c>
      <c r="AC487" s="7">
        <v>10</v>
      </c>
      <c r="AD487" s="15">
        <v>45534</v>
      </c>
      <c r="AE487" s="50">
        <v>500</v>
      </c>
      <c r="AF487" s="50"/>
      <c r="AG487" s="7" t="s">
        <v>195</v>
      </c>
      <c r="AH487" s="15">
        <v>45553</v>
      </c>
      <c r="AI487" s="7">
        <v>20610345779</v>
      </c>
      <c r="AJ487" s="7" t="s">
        <v>238</v>
      </c>
      <c r="AK487" s="7" t="s">
        <v>247</v>
      </c>
      <c r="AL487" s="20">
        <v>500</v>
      </c>
      <c r="AM487" s="20"/>
      <c r="AN487" s="20" t="s">
        <v>257</v>
      </c>
      <c r="AO487" s="20"/>
      <c r="AP487" s="20"/>
      <c r="AQ487" s="20"/>
      <c r="AR487" s="20"/>
      <c r="AS487" s="20"/>
      <c r="AT487" s="20"/>
      <c r="AU487" s="20"/>
      <c r="AV487" s="20"/>
      <c r="AW487" s="15">
        <v>45553</v>
      </c>
      <c r="AX487" s="81">
        <v>3181</v>
      </c>
      <c r="BA487" s="20">
        <v>500</v>
      </c>
      <c r="BB487" s="20"/>
      <c r="BD487" s="7"/>
      <c r="CS487" s="9">
        <f t="shared" si="37"/>
        <v>500</v>
      </c>
      <c r="CT487" s="20">
        <f t="shared" si="38"/>
        <v>500</v>
      </c>
      <c r="CU487" s="20">
        <f t="shared" si="40"/>
        <v>0</v>
      </c>
      <c r="CV487" s="24">
        <f t="shared" si="39"/>
        <v>0</v>
      </c>
    </row>
    <row r="488" spans="1:103" ht="12.75" x14ac:dyDescent="0.2">
      <c r="A488" s="7" t="s">
        <v>192</v>
      </c>
      <c r="B488" s="1">
        <v>42</v>
      </c>
      <c r="C488" s="2" t="s">
        <v>36</v>
      </c>
      <c r="D488" s="59" t="s">
        <v>37</v>
      </c>
      <c r="E488" s="58"/>
      <c r="F488" s="58"/>
      <c r="G488" s="1" t="s">
        <v>20</v>
      </c>
      <c r="H488" s="1">
        <v>4</v>
      </c>
      <c r="I488" s="18">
        <v>145.38</v>
      </c>
      <c r="J488" s="18">
        <v>47900</v>
      </c>
      <c r="K488" s="2">
        <v>0</v>
      </c>
      <c r="L488" s="2" t="s">
        <v>3</v>
      </c>
      <c r="M488" s="7" t="s">
        <v>15</v>
      </c>
      <c r="N488" s="7" t="s">
        <v>14</v>
      </c>
      <c r="O488" s="7" t="s">
        <v>193</v>
      </c>
      <c r="S488" s="7" t="s">
        <v>96</v>
      </c>
      <c r="T488" s="8" t="s">
        <v>20</v>
      </c>
      <c r="U488" s="8">
        <v>4</v>
      </c>
      <c r="V488" s="8">
        <v>145.38</v>
      </c>
      <c r="W488" s="8" t="s">
        <v>196</v>
      </c>
      <c r="X488" s="15">
        <v>45199</v>
      </c>
      <c r="Y488" s="15">
        <v>45222</v>
      </c>
      <c r="Z488" s="17" t="s">
        <v>201</v>
      </c>
      <c r="AA488" s="118">
        <v>42900</v>
      </c>
      <c r="AB488" s="7">
        <v>82</v>
      </c>
      <c r="AC488" s="7">
        <v>11</v>
      </c>
      <c r="AD488" s="15">
        <v>45565</v>
      </c>
      <c r="AE488" s="50">
        <v>500</v>
      </c>
      <c r="AF488" s="50"/>
      <c r="AG488" s="7" t="s">
        <v>195</v>
      </c>
      <c r="AH488" s="15">
        <v>45568</v>
      </c>
      <c r="AI488" s="7">
        <v>20610345779</v>
      </c>
      <c r="AJ488" s="7" t="s">
        <v>238</v>
      </c>
      <c r="AK488" s="7" t="s">
        <v>248</v>
      </c>
      <c r="AL488" s="20">
        <v>500</v>
      </c>
      <c r="AM488" s="20"/>
      <c r="AN488" s="20" t="s">
        <v>258</v>
      </c>
      <c r="AO488" s="20"/>
      <c r="AP488" s="20"/>
      <c r="AQ488" s="20"/>
      <c r="AR488" s="20"/>
      <c r="AS488" s="20"/>
      <c r="AT488" s="20"/>
      <c r="AU488" s="20"/>
      <c r="AV488" s="20"/>
      <c r="AW488" s="15">
        <v>45569</v>
      </c>
      <c r="AX488" s="89">
        <v>3245</v>
      </c>
      <c r="BA488" s="20">
        <v>500</v>
      </c>
      <c r="BB488" s="20"/>
      <c r="BD488" s="7"/>
      <c r="CS488" s="9">
        <f t="shared" si="37"/>
        <v>500</v>
      </c>
      <c r="CT488" s="20">
        <f t="shared" si="38"/>
        <v>500</v>
      </c>
      <c r="CU488" s="20">
        <f t="shared" si="40"/>
        <v>0</v>
      </c>
      <c r="CV488" s="24">
        <f t="shared" si="39"/>
        <v>0</v>
      </c>
    </row>
    <row r="489" spans="1:103" ht="12.75" x14ac:dyDescent="0.2">
      <c r="A489" s="7" t="s">
        <v>192</v>
      </c>
      <c r="B489" s="1">
        <v>42</v>
      </c>
      <c r="C489" s="2" t="s">
        <v>36</v>
      </c>
      <c r="D489" s="59" t="s">
        <v>37</v>
      </c>
      <c r="E489" s="58"/>
      <c r="F489" s="58"/>
      <c r="G489" s="1" t="s">
        <v>20</v>
      </c>
      <c r="H489" s="1">
        <v>4</v>
      </c>
      <c r="I489" s="18">
        <v>145.38</v>
      </c>
      <c r="J489" s="18">
        <v>47900</v>
      </c>
      <c r="K489" s="2">
        <v>0</v>
      </c>
      <c r="L489" s="2" t="s">
        <v>3</v>
      </c>
      <c r="M489" s="7" t="s">
        <v>15</v>
      </c>
      <c r="N489" s="7" t="s">
        <v>14</v>
      </c>
      <c r="O489" s="7" t="s">
        <v>193</v>
      </c>
      <c r="S489" s="7" t="s">
        <v>96</v>
      </c>
      <c r="T489" s="8" t="s">
        <v>20</v>
      </c>
      <c r="U489" s="8">
        <v>4</v>
      </c>
      <c r="V489" s="8">
        <v>145.38</v>
      </c>
      <c r="W489" s="8" t="s">
        <v>196</v>
      </c>
      <c r="X489" s="15">
        <v>45199</v>
      </c>
      <c r="Y489" s="15">
        <v>45222</v>
      </c>
      <c r="Z489" s="17" t="s">
        <v>201</v>
      </c>
      <c r="AA489" s="118">
        <v>42900</v>
      </c>
      <c r="AB489" s="7">
        <v>82</v>
      </c>
      <c r="AC489" s="7">
        <v>12</v>
      </c>
      <c r="AD489" s="15">
        <v>45595</v>
      </c>
      <c r="AE489" s="50">
        <v>500</v>
      </c>
      <c r="AF489" s="50"/>
      <c r="AG489" s="7" t="s">
        <v>195</v>
      </c>
      <c r="AH489" s="15">
        <v>45670</v>
      </c>
      <c r="AI489" s="7">
        <v>20610345779</v>
      </c>
      <c r="AJ489" s="7" t="s">
        <v>238</v>
      </c>
      <c r="AK489" s="7" t="s">
        <v>259</v>
      </c>
      <c r="AL489" s="20">
        <v>500</v>
      </c>
      <c r="AM489" s="20"/>
      <c r="AN489" s="20" t="s">
        <v>268</v>
      </c>
      <c r="AO489" s="20"/>
      <c r="AP489" s="20"/>
      <c r="AQ489" s="20"/>
      <c r="AR489" s="20"/>
      <c r="AS489" s="20"/>
      <c r="AT489" s="20"/>
      <c r="AU489" s="20"/>
      <c r="AV489" s="20"/>
      <c r="AW489" s="15">
        <v>45671</v>
      </c>
      <c r="AX489" s="89">
        <v>3604</v>
      </c>
      <c r="BA489" s="20">
        <v>500</v>
      </c>
      <c r="BB489" s="20"/>
      <c r="BD489" s="7"/>
      <c r="CS489" s="9">
        <f t="shared" si="37"/>
        <v>500</v>
      </c>
      <c r="CT489" s="20">
        <f t="shared" si="38"/>
        <v>500</v>
      </c>
      <c r="CU489" s="20">
        <f t="shared" si="40"/>
        <v>0</v>
      </c>
      <c r="CV489" s="24">
        <f t="shared" si="39"/>
        <v>0</v>
      </c>
    </row>
    <row r="490" spans="1:103" ht="12.75" x14ac:dyDescent="0.2">
      <c r="A490" s="7" t="s">
        <v>192</v>
      </c>
      <c r="B490" s="1">
        <v>42</v>
      </c>
      <c r="C490" s="2" t="s">
        <v>36</v>
      </c>
      <c r="D490" s="59" t="s">
        <v>37</v>
      </c>
      <c r="E490" s="58"/>
      <c r="F490" s="58"/>
      <c r="G490" s="1" t="s">
        <v>20</v>
      </c>
      <c r="H490" s="1">
        <v>4</v>
      </c>
      <c r="I490" s="18">
        <v>145.38</v>
      </c>
      <c r="J490" s="18">
        <v>47900</v>
      </c>
      <c r="K490" s="2">
        <v>0</v>
      </c>
      <c r="L490" s="2" t="s">
        <v>3</v>
      </c>
      <c r="M490" s="7" t="s">
        <v>15</v>
      </c>
      <c r="N490" s="7" t="s">
        <v>14</v>
      </c>
      <c r="O490" s="7" t="s">
        <v>193</v>
      </c>
      <c r="S490" s="7" t="s">
        <v>96</v>
      </c>
      <c r="T490" s="8" t="s">
        <v>20</v>
      </c>
      <c r="U490" s="8">
        <v>4</v>
      </c>
      <c r="V490" s="8">
        <v>145.38</v>
      </c>
      <c r="W490" s="8" t="s">
        <v>196</v>
      </c>
      <c r="X490" s="15">
        <v>45199</v>
      </c>
      <c r="Y490" s="15">
        <v>45222</v>
      </c>
      <c r="Z490" s="17" t="s">
        <v>201</v>
      </c>
      <c r="AA490" s="118">
        <v>42900</v>
      </c>
      <c r="AB490" s="7">
        <v>82</v>
      </c>
      <c r="AC490" s="7">
        <v>13</v>
      </c>
      <c r="AD490" s="15">
        <v>45626</v>
      </c>
      <c r="AE490" s="50">
        <v>500</v>
      </c>
      <c r="AF490" s="50"/>
      <c r="AG490" s="7" t="s">
        <v>195</v>
      </c>
      <c r="AH490" s="15">
        <v>45670</v>
      </c>
      <c r="AI490" s="7">
        <v>20610345779</v>
      </c>
      <c r="AJ490" s="7" t="s">
        <v>238</v>
      </c>
      <c r="AK490" s="7" t="s">
        <v>260</v>
      </c>
      <c r="AL490" s="20">
        <v>500</v>
      </c>
      <c r="AM490" s="20"/>
      <c r="AN490" s="20" t="s">
        <v>269</v>
      </c>
      <c r="AO490" s="20"/>
      <c r="AP490" s="20"/>
      <c r="AQ490" s="20"/>
      <c r="AR490" s="20"/>
      <c r="AS490" s="20"/>
      <c r="AT490" s="20"/>
      <c r="AU490" s="20"/>
      <c r="AV490" s="20"/>
      <c r="AW490" s="15">
        <v>45671</v>
      </c>
      <c r="AX490" s="89">
        <v>3604</v>
      </c>
      <c r="BA490" s="20">
        <v>500</v>
      </c>
      <c r="BB490" s="20"/>
      <c r="BD490" s="7"/>
      <c r="CS490" s="9">
        <f t="shared" si="37"/>
        <v>500</v>
      </c>
      <c r="CT490" s="20">
        <f t="shared" si="38"/>
        <v>500</v>
      </c>
      <c r="CU490" s="20">
        <f t="shared" si="40"/>
        <v>0</v>
      </c>
      <c r="CV490" s="24">
        <f t="shared" si="39"/>
        <v>0</v>
      </c>
    </row>
    <row r="491" spans="1:103" ht="12.75" x14ac:dyDescent="0.2">
      <c r="A491" s="7" t="s">
        <v>192</v>
      </c>
      <c r="B491" s="1">
        <v>42</v>
      </c>
      <c r="C491" s="2" t="s">
        <v>36</v>
      </c>
      <c r="D491" s="59" t="s">
        <v>37</v>
      </c>
      <c r="E491" s="58"/>
      <c r="F491" s="58"/>
      <c r="G491" s="1" t="s">
        <v>20</v>
      </c>
      <c r="H491" s="1">
        <v>4</v>
      </c>
      <c r="I491" s="18">
        <v>145.38</v>
      </c>
      <c r="J491" s="18">
        <v>47900</v>
      </c>
      <c r="K491" s="2">
        <v>0</v>
      </c>
      <c r="L491" s="2" t="s">
        <v>3</v>
      </c>
      <c r="M491" s="7" t="s">
        <v>15</v>
      </c>
      <c r="N491" s="7" t="s">
        <v>14</v>
      </c>
      <c r="O491" s="7" t="s">
        <v>193</v>
      </c>
      <c r="S491" s="7" t="s">
        <v>96</v>
      </c>
      <c r="T491" s="8" t="s">
        <v>20</v>
      </c>
      <c r="U491" s="8">
        <v>4</v>
      </c>
      <c r="V491" s="8">
        <v>145.38</v>
      </c>
      <c r="W491" s="8" t="s">
        <v>196</v>
      </c>
      <c r="X491" s="15">
        <v>45199</v>
      </c>
      <c r="Y491" s="15">
        <v>45222</v>
      </c>
      <c r="Z491" s="17" t="s">
        <v>201</v>
      </c>
      <c r="AA491" s="118">
        <v>42900</v>
      </c>
      <c r="AB491" s="7">
        <v>82</v>
      </c>
      <c r="AC491" s="7">
        <v>14</v>
      </c>
      <c r="AD491" s="15">
        <v>45656</v>
      </c>
      <c r="AE491" s="50">
        <v>500</v>
      </c>
      <c r="AF491" s="50"/>
      <c r="AG491" s="7" t="s">
        <v>195</v>
      </c>
      <c r="AH491" s="15">
        <v>45714</v>
      </c>
      <c r="AI491" s="7">
        <v>20610345779</v>
      </c>
      <c r="AJ491" s="7" t="s">
        <v>238</v>
      </c>
      <c r="AK491" s="7" t="s">
        <v>261</v>
      </c>
      <c r="AL491" s="20">
        <v>500</v>
      </c>
      <c r="AM491" s="20"/>
      <c r="AN491" s="20" t="s">
        <v>270</v>
      </c>
      <c r="AO491" s="20"/>
      <c r="AP491" s="20"/>
      <c r="AQ491" s="20"/>
      <c r="AR491" s="20"/>
      <c r="AS491" s="20"/>
      <c r="AT491" s="20"/>
      <c r="AU491" s="20"/>
      <c r="AV491" s="20"/>
      <c r="AW491" s="15">
        <v>45715</v>
      </c>
      <c r="AX491" s="89">
        <v>3803</v>
      </c>
      <c r="BA491" s="20">
        <v>500</v>
      </c>
      <c r="BB491" s="20"/>
      <c r="BD491" s="7"/>
      <c r="CS491" s="9">
        <f t="shared" si="37"/>
        <v>500</v>
      </c>
      <c r="CT491" s="20">
        <f t="shared" si="38"/>
        <v>500</v>
      </c>
      <c r="CU491" s="20">
        <f t="shared" si="40"/>
        <v>0</v>
      </c>
      <c r="CV491" s="24">
        <f t="shared" si="39"/>
        <v>0</v>
      </c>
    </row>
    <row r="492" spans="1:103" ht="12.75" x14ac:dyDescent="0.2">
      <c r="A492" s="7" t="s">
        <v>192</v>
      </c>
      <c r="B492" s="1">
        <v>42</v>
      </c>
      <c r="C492" s="2" t="s">
        <v>36</v>
      </c>
      <c r="D492" s="59" t="s">
        <v>37</v>
      </c>
      <c r="E492" s="58"/>
      <c r="F492" s="58"/>
      <c r="G492" s="1" t="s">
        <v>20</v>
      </c>
      <c r="H492" s="1">
        <v>4</v>
      </c>
      <c r="I492" s="18">
        <v>145.38</v>
      </c>
      <c r="J492" s="18">
        <v>47900</v>
      </c>
      <c r="K492" s="2">
        <v>0</v>
      </c>
      <c r="L492" s="2" t="s">
        <v>3</v>
      </c>
      <c r="M492" s="7" t="s">
        <v>15</v>
      </c>
      <c r="N492" s="7" t="s">
        <v>14</v>
      </c>
      <c r="O492" s="7" t="s">
        <v>193</v>
      </c>
      <c r="S492" s="7" t="s">
        <v>96</v>
      </c>
      <c r="T492" s="8" t="s">
        <v>20</v>
      </c>
      <c r="U492" s="8">
        <v>4</v>
      </c>
      <c r="V492" s="8">
        <v>145.38</v>
      </c>
      <c r="W492" s="8" t="s">
        <v>196</v>
      </c>
      <c r="X492" s="15">
        <v>45199</v>
      </c>
      <c r="Y492" s="15">
        <v>45222</v>
      </c>
      <c r="Z492" s="17" t="s">
        <v>201</v>
      </c>
      <c r="AA492" s="118">
        <v>42900</v>
      </c>
      <c r="AB492" s="7">
        <v>82</v>
      </c>
      <c r="AC492" s="7">
        <v>15</v>
      </c>
      <c r="AD492" s="15">
        <v>45687</v>
      </c>
      <c r="AE492" s="50">
        <v>500</v>
      </c>
      <c r="AF492" s="50"/>
      <c r="AG492" s="7" t="s">
        <v>195</v>
      </c>
      <c r="AH492" s="15">
        <v>45771</v>
      </c>
      <c r="AI492" s="7">
        <v>20610345779</v>
      </c>
      <c r="AJ492" s="7" t="s">
        <v>238</v>
      </c>
      <c r="AK492" s="7" t="s">
        <v>262</v>
      </c>
      <c r="AL492" s="20">
        <v>500</v>
      </c>
      <c r="AM492" s="20"/>
      <c r="AN492" s="20" t="s">
        <v>271</v>
      </c>
      <c r="AO492" s="20"/>
      <c r="AP492" s="20"/>
      <c r="AQ492" s="20"/>
      <c r="AR492" s="20"/>
      <c r="AS492" s="20"/>
      <c r="AT492" s="20"/>
      <c r="AU492" s="20"/>
      <c r="AV492" s="20"/>
      <c r="AW492" s="15">
        <v>45772</v>
      </c>
      <c r="AX492" s="89">
        <v>4053</v>
      </c>
      <c r="BA492" s="20">
        <v>500</v>
      </c>
      <c r="BB492" s="20"/>
      <c r="BD492" s="7"/>
      <c r="CS492" s="9">
        <f t="shared" si="37"/>
        <v>500</v>
      </c>
      <c r="CT492" s="20">
        <f t="shared" si="38"/>
        <v>500</v>
      </c>
      <c r="CU492" s="20">
        <f t="shared" si="40"/>
        <v>0</v>
      </c>
      <c r="CV492" s="24">
        <f t="shared" si="39"/>
        <v>0</v>
      </c>
    </row>
    <row r="493" spans="1:103" x14ac:dyDescent="0.2">
      <c r="A493" s="7" t="s">
        <v>192</v>
      </c>
      <c r="B493" s="1">
        <v>42</v>
      </c>
      <c r="C493" s="2" t="s">
        <v>36</v>
      </c>
      <c r="D493" s="59" t="s">
        <v>37</v>
      </c>
      <c r="E493" s="58"/>
      <c r="F493" s="58"/>
      <c r="G493" s="1" t="s">
        <v>20</v>
      </c>
      <c r="H493" s="1">
        <v>4</v>
      </c>
      <c r="I493" s="18">
        <v>145.38</v>
      </c>
      <c r="J493" s="18">
        <v>47900</v>
      </c>
      <c r="K493" s="2">
        <v>0</v>
      </c>
      <c r="L493" s="2" t="s">
        <v>3</v>
      </c>
      <c r="M493" s="7" t="s">
        <v>15</v>
      </c>
      <c r="N493" s="7" t="s">
        <v>14</v>
      </c>
      <c r="O493" s="7" t="s">
        <v>193</v>
      </c>
      <c r="S493" s="7" t="s">
        <v>96</v>
      </c>
      <c r="T493" s="8" t="s">
        <v>20</v>
      </c>
      <c r="U493" s="8">
        <v>4</v>
      </c>
      <c r="V493" s="8">
        <v>145.38</v>
      </c>
      <c r="W493" s="8" t="s">
        <v>196</v>
      </c>
      <c r="X493" s="15">
        <v>45199</v>
      </c>
      <c r="Y493" s="15">
        <v>45222</v>
      </c>
      <c r="Z493" s="17" t="s">
        <v>201</v>
      </c>
      <c r="AA493" s="118">
        <v>42900</v>
      </c>
      <c r="AB493" s="7">
        <v>82</v>
      </c>
      <c r="AC493" s="7">
        <v>16</v>
      </c>
      <c r="AD493" s="15">
        <v>45716</v>
      </c>
      <c r="AE493" s="50">
        <v>500</v>
      </c>
      <c r="AF493" s="50"/>
      <c r="AG493" s="7" t="s">
        <v>195</v>
      </c>
      <c r="AH493" s="15">
        <v>45800</v>
      </c>
      <c r="AI493" s="7">
        <v>20610345779</v>
      </c>
      <c r="AJ493" s="7" t="s">
        <v>238</v>
      </c>
      <c r="AK493" s="7" t="s">
        <v>263</v>
      </c>
      <c r="AL493" s="20"/>
      <c r="AM493" s="112">
        <v>500</v>
      </c>
      <c r="AN493" s="20" t="s">
        <v>272</v>
      </c>
      <c r="AO493" s="20"/>
      <c r="AP493" s="20"/>
      <c r="AQ493" s="20"/>
      <c r="AR493" s="20"/>
      <c r="AS493" s="20"/>
      <c r="AT493" s="20"/>
      <c r="AU493" s="20"/>
      <c r="AV493" s="20"/>
      <c r="AW493" s="15">
        <v>45793</v>
      </c>
      <c r="AY493" s="111">
        <v>500</v>
      </c>
      <c r="BA493" s="20"/>
      <c r="BB493" s="20"/>
      <c r="BD493" s="7"/>
      <c r="CS493" s="9">
        <f t="shared" si="37"/>
        <v>0</v>
      </c>
      <c r="CT493" s="20">
        <f t="shared" si="38"/>
        <v>0</v>
      </c>
      <c r="CU493" s="20">
        <f t="shared" si="40"/>
        <v>0</v>
      </c>
      <c r="CV493" s="24">
        <f t="shared" si="39"/>
        <v>500</v>
      </c>
      <c r="CW493" s="7" t="s">
        <v>876</v>
      </c>
    </row>
    <row r="494" spans="1:103" ht="12.75" x14ac:dyDescent="0.2">
      <c r="A494" s="7" t="s">
        <v>192</v>
      </c>
      <c r="B494" s="1">
        <v>42</v>
      </c>
      <c r="C494" s="2" t="s">
        <v>36</v>
      </c>
      <c r="D494" s="59" t="s">
        <v>37</v>
      </c>
      <c r="E494" s="58"/>
      <c r="F494" s="58"/>
      <c r="G494" s="1" t="s">
        <v>20</v>
      </c>
      <c r="H494" s="1">
        <v>4</v>
      </c>
      <c r="I494" s="18">
        <v>145.38</v>
      </c>
      <c r="J494" s="18">
        <v>47900</v>
      </c>
      <c r="K494" s="2">
        <v>0</v>
      </c>
      <c r="L494" s="2" t="s">
        <v>3</v>
      </c>
      <c r="M494" s="7" t="s">
        <v>15</v>
      </c>
      <c r="N494" s="7" t="s">
        <v>14</v>
      </c>
      <c r="O494" s="7" t="s">
        <v>193</v>
      </c>
      <c r="S494" s="7" t="s">
        <v>96</v>
      </c>
      <c r="T494" s="8" t="s">
        <v>20</v>
      </c>
      <c r="U494" s="8">
        <v>4</v>
      </c>
      <c r="V494" s="8">
        <v>145.38</v>
      </c>
      <c r="W494" s="8" t="s">
        <v>196</v>
      </c>
      <c r="X494" s="15">
        <v>45199</v>
      </c>
      <c r="Y494" s="15">
        <v>45222</v>
      </c>
      <c r="Z494" s="17" t="s">
        <v>201</v>
      </c>
      <c r="AA494" s="118">
        <v>42900</v>
      </c>
      <c r="AB494" s="7">
        <v>82</v>
      </c>
      <c r="AC494" s="7">
        <v>17</v>
      </c>
      <c r="AD494" s="15">
        <v>45746</v>
      </c>
      <c r="AE494" s="50">
        <v>500</v>
      </c>
      <c r="AF494" s="50"/>
      <c r="AG494" s="7" t="s">
        <v>195</v>
      </c>
      <c r="AH494" s="15">
        <v>45824</v>
      </c>
      <c r="AI494" s="7">
        <v>20610345779</v>
      </c>
      <c r="AJ494" s="7" t="s">
        <v>238</v>
      </c>
      <c r="AK494" s="7" t="s">
        <v>264</v>
      </c>
      <c r="AL494" s="20">
        <v>500</v>
      </c>
      <c r="AM494" s="20"/>
      <c r="AN494" s="20" t="s">
        <v>273</v>
      </c>
      <c r="AO494" s="20"/>
      <c r="AP494" s="20"/>
      <c r="AQ494" s="20"/>
      <c r="AR494" s="20"/>
      <c r="AS494" s="20"/>
      <c r="AT494" s="20"/>
      <c r="AU494" s="20"/>
      <c r="AV494" s="20"/>
      <c r="AW494" s="15">
        <v>45824</v>
      </c>
      <c r="AX494" s="89">
        <v>4298</v>
      </c>
      <c r="BA494" s="20">
        <v>500</v>
      </c>
      <c r="BB494" s="20"/>
      <c r="BD494" s="7"/>
      <c r="CS494" s="9">
        <f t="shared" si="37"/>
        <v>500</v>
      </c>
      <c r="CT494" s="20">
        <f t="shared" si="38"/>
        <v>500</v>
      </c>
      <c r="CU494" s="20">
        <f t="shared" si="40"/>
        <v>0</v>
      </c>
      <c r="CV494" s="24">
        <f t="shared" si="39"/>
        <v>0</v>
      </c>
    </row>
    <row r="495" spans="1:103" x14ac:dyDescent="0.2">
      <c r="A495" s="7" t="s">
        <v>192</v>
      </c>
      <c r="B495" s="1">
        <v>42</v>
      </c>
      <c r="C495" s="2" t="s">
        <v>36</v>
      </c>
      <c r="D495" s="59" t="s">
        <v>37</v>
      </c>
      <c r="E495" s="58"/>
      <c r="F495" s="58"/>
      <c r="G495" s="1" t="s">
        <v>20</v>
      </c>
      <c r="H495" s="1">
        <v>4</v>
      </c>
      <c r="I495" s="18">
        <v>145.38</v>
      </c>
      <c r="J495" s="18">
        <v>47900</v>
      </c>
      <c r="K495" s="2">
        <v>0</v>
      </c>
      <c r="L495" s="2" t="s">
        <v>3</v>
      </c>
      <c r="M495" s="7" t="s">
        <v>15</v>
      </c>
      <c r="N495" s="7" t="s">
        <v>14</v>
      </c>
      <c r="O495" s="7" t="s">
        <v>193</v>
      </c>
      <c r="S495" s="7" t="s">
        <v>96</v>
      </c>
      <c r="T495" s="8" t="s">
        <v>20</v>
      </c>
      <c r="U495" s="8">
        <v>4</v>
      </c>
      <c r="V495" s="8">
        <v>145.38</v>
      </c>
      <c r="W495" s="8" t="s">
        <v>196</v>
      </c>
      <c r="X495" s="15">
        <v>45199</v>
      </c>
      <c r="Y495" s="15">
        <v>45222</v>
      </c>
      <c r="Z495" s="17" t="s">
        <v>201</v>
      </c>
      <c r="AA495" s="118">
        <v>42900</v>
      </c>
      <c r="AB495" s="7">
        <v>82</v>
      </c>
      <c r="AC495" s="7">
        <v>18</v>
      </c>
      <c r="AD495" s="15">
        <v>45777</v>
      </c>
      <c r="AE495" s="50">
        <v>500</v>
      </c>
      <c r="AF495" s="50"/>
      <c r="AG495" s="7" t="s">
        <v>195</v>
      </c>
      <c r="AH495" s="15">
        <v>45825</v>
      </c>
      <c r="AI495" s="7">
        <v>20610345779</v>
      </c>
      <c r="AJ495" s="7" t="s">
        <v>238</v>
      </c>
      <c r="AK495" s="7" t="s">
        <v>265</v>
      </c>
      <c r="AL495" s="20">
        <v>500</v>
      </c>
      <c r="AM495" s="20"/>
      <c r="AN495" s="20" t="s">
        <v>274</v>
      </c>
      <c r="AO495" s="20"/>
      <c r="AP495" s="20"/>
      <c r="AQ495" s="20"/>
      <c r="AR495" s="20"/>
      <c r="AS495" s="20"/>
      <c r="AT495" s="20"/>
      <c r="AU495" s="20"/>
      <c r="AV495" s="20"/>
      <c r="AW495" s="15"/>
      <c r="BA495" s="20"/>
      <c r="BB495" s="20" t="s">
        <v>230</v>
      </c>
      <c r="BD495" s="7"/>
      <c r="CS495" s="9">
        <f t="shared" si="37"/>
        <v>500</v>
      </c>
      <c r="CT495" s="20">
        <f t="shared" si="38"/>
        <v>0</v>
      </c>
      <c r="CU495" s="20">
        <f t="shared" si="40"/>
        <v>500</v>
      </c>
      <c r="CV495" s="24">
        <f t="shared" si="39"/>
        <v>0</v>
      </c>
      <c r="CW495" s="7" t="s">
        <v>874</v>
      </c>
      <c r="CY495" s="7" t="s">
        <v>873</v>
      </c>
    </row>
    <row r="496" spans="1:103" x14ac:dyDescent="0.2">
      <c r="A496" s="7" t="s">
        <v>192</v>
      </c>
      <c r="B496" s="1">
        <v>42</v>
      </c>
      <c r="C496" s="2" t="s">
        <v>36</v>
      </c>
      <c r="D496" s="59" t="s">
        <v>37</v>
      </c>
      <c r="E496" s="58"/>
      <c r="F496" s="58"/>
      <c r="G496" s="1" t="s">
        <v>20</v>
      </c>
      <c r="H496" s="1">
        <v>4</v>
      </c>
      <c r="I496" s="18">
        <v>145.38</v>
      </c>
      <c r="J496" s="18">
        <v>47900</v>
      </c>
      <c r="K496" s="2">
        <v>0</v>
      </c>
      <c r="L496" s="2" t="s">
        <v>3</v>
      </c>
      <c r="M496" s="7" t="s">
        <v>15</v>
      </c>
      <c r="N496" s="7" t="s">
        <v>14</v>
      </c>
      <c r="O496" s="7" t="s">
        <v>193</v>
      </c>
      <c r="S496" s="7" t="s">
        <v>96</v>
      </c>
      <c r="T496" s="8" t="s">
        <v>20</v>
      </c>
      <c r="U496" s="8">
        <v>4</v>
      </c>
      <c r="V496" s="8">
        <v>145.38</v>
      </c>
      <c r="W496" s="8" t="s">
        <v>196</v>
      </c>
      <c r="X496" s="15">
        <v>45199</v>
      </c>
      <c r="Y496" s="15">
        <v>45222</v>
      </c>
      <c r="Z496" s="17" t="s">
        <v>201</v>
      </c>
      <c r="AA496" s="118">
        <v>42900</v>
      </c>
      <c r="AB496" s="7">
        <v>82</v>
      </c>
      <c r="AC496" s="7">
        <v>19</v>
      </c>
      <c r="AD496" s="15">
        <v>45807</v>
      </c>
      <c r="AE496" s="50">
        <v>500</v>
      </c>
      <c r="AF496" s="50"/>
      <c r="AG496" s="7" t="s">
        <v>195</v>
      </c>
      <c r="AH496" s="15">
        <v>45825</v>
      </c>
      <c r="AI496" s="7">
        <v>20610345779</v>
      </c>
      <c r="AJ496" s="7" t="s">
        <v>238</v>
      </c>
      <c r="AK496" s="7" t="s">
        <v>266</v>
      </c>
      <c r="AL496" s="20">
        <v>500</v>
      </c>
      <c r="AM496" s="20"/>
      <c r="AN496" s="20" t="s">
        <v>275</v>
      </c>
      <c r="AO496" s="20"/>
      <c r="AP496" s="20"/>
      <c r="AQ496" s="20"/>
      <c r="AR496" s="20"/>
      <c r="AS496" s="20"/>
      <c r="AT496" s="20"/>
      <c r="AU496" s="20"/>
      <c r="AV496" s="20"/>
      <c r="AW496" s="15">
        <v>45825</v>
      </c>
      <c r="AX496" s="7">
        <v>49640</v>
      </c>
      <c r="AY496" s="7">
        <v>500</v>
      </c>
      <c r="AZ496" s="7">
        <v>3.6680000000000001</v>
      </c>
      <c r="BA496" s="20">
        <f>+AY496/AZ496</f>
        <v>136.31406761177752</v>
      </c>
      <c r="BB496" s="20"/>
      <c r="BC496" s="15">
        <v>45825</v>
      </c>
      <c r="BD496" s="7">
        <v>49640</v>
      </c>
      <c r="BE496" s="7">
        <v>1334</v>
      </c>
      <c r="BF496" s="7">
        <v>3.6680000000000001</v>
      </c>
      <c r="BG496" s="20">
        <f>+BE496/BF496</f>
        <v>363.68593238822245</v>
      </c>
      <c r="CS496" s="9">
        <f t="shared" si="37"/>
        <v>500</v>
      </c>
      <c r="CT496" s="20">
        <f t="shared" si="38"/>
        <v>500</v>
      </c>
      <c r="CU496" s="20">
        <f t="shared" si="40"/>
        <v>0</v>
      </c>
      <c r="CV496" s="24">
        <f t="shared" si="39"/>
        <v>0</v>
      </c>
    </row>
    <row r="497" spans="1:100" ht="12.75" x14ac:dyDescent="0.2">
      <c r="A497" s="7" t="s">
        <v>192</v>
      </c>
      <c r="B497" s="1">
        <v>42</v>
      </c>
      <c r="C497" s="2" t="s">
        <v>36</v>
      </c>
      <c r="D497" s="59" t="s">
        <v>37</v>
      </c>
      <c r="E497" s="58"/>
      <c r="F497" s="58"/>
      <c r="G497" s="1" t="s">
        <v>20</v>
      </c>
      <c r="H497" s="1">
        <v>4</v>
      </c>
      <c r="I497" s="18">
        <v>145.38</v>
      </c>
      <c r="J497" s="18">
        <v>47900</v>
      </c>
      <c r="K497" s="2">
        <v>0</v>
      </c>
      <c r="L497" s="2" t="s">
        <v>3</v>
      </c>
      <c r="M497" s="7" t="s">
        <v>15</v>
      </c>
      <c r="N497" s="7" t="s">
        <v>14</v>
      </c>
      <c r="O497" s="7" t="s">
        <v>193</v>
      </c>
      <c r="S497" s="7" t="s">
        <v>96</v>
      </c>
      <c r="T497" s="8" t="s">
        <v>20</v>
      </c>
      <c r="U497" s="8">
        <v>4</v>
      </c>
      <c r="V497" s="8">
        <v>145.38</v>
      </c>
      <c r="W497" s="8" t="s">
        <v>196</v>
      </c>
      <c r="X497" s="15">
        <v>45199</v>
      </c>
      <c r="Y497" s="15">
        <v>45222</v>
      </c>
      <c r="Z497" s="17" t="s">
        <v>201</v>
      </c>
      <c r="AA497" s="118">
        <v>42900</v>
      </c>
      <c r="AB497" s="7">
        <v>82</v>
      </c>
      <c r="AC497" s="7">
        <v>20</v>
      </c>
      <c r="AD497" s="15">
        <v>45838</v>
      </c>
      <c r="AE497" s="50">
        <v>500</v>
      </c>
      <c r="AF497" s="50"/>
      <c r="AG497" s="7" t="s">
        <v>195</v>
      </c>
      <c r="AH497" s="15">
        <v>45859</v>
      </c>
      <c r="AI497" s="7">
        <v>20610345779</v>
      </c>
      <c r="AJ497" s="7" t="s">
        <v>238</v>
      </c>
      <c r="AK497" s="7" t="s">
        <v>267</v>
      </c>
      <c r="AL497" s="20">
        <v>500</v>
      </c>
      <c r="AM497" s="20"/>
      <c r="AN497" s="20" t="s">
        <v>276</v>
      </c>
      <c r="AO497" s="20"/>
      <c r="AP497" s="20"/>
      <c r="AQ497" s="20"/>
      <c r="AR497" s="20"/>
      <c r="AS497" s="20"/>
      <c r="AT497" s="20"/>
      <c r="AU497" s="20"/>
      <c r="AV497" s="20"/>
      <c r="AW497" s="15">
        <v>45860</v>
      </c>
      <c r="AX497" s="89">
        <v>4452</v>
      </c>
      <c r="BA497" s="20">
        <v>500</v>
      </c>
      <c r="BB497" s="20"/>
      <c r="BD497" s="7"/>
      <c r="CS497" s="9">
        <f t="shared" si="37"/>
        <v>500</v>
      </c>
      <c r="CT497" s="20">
        <f t="shared" si="38"/>
        <v>500</v>
      </c>
      <c r="CU497" s="20">
        <f t="shared" si="40"/>
        <v>0</v>
      </c>
      <c r="CV497" s="24">
        <f t="shared" si="39"/>
        <v>0</v>
      </c>
    </row>
    <row r="498" spans="1:100" x14ac:dyDescent="0.2">
      <c r="A498" s="7" t="s">
        <v>192</v>
      </c>
      <c r="B498" s="1">
        <v>42</v>
      </c>
      <c r="C498" s="2" t="s">
        <v>36</v>
      </c>
      <c r="D498" s="59" t="s">
        <v>37</v>
      </c>
      <c r="E498" s="58"/>
      <c r="F498" s="58"/>
      <c r="G498" s="1" t="s">
        <v>20</v>
      </c>
      <c r="H498" s="1">
        <v>4</v>
      </c>
      <c r="I498" s="18">
        <v>145.38</v>
      </c>
      <c r="J498" s="18">
        <v>47900</v>
      </c>
      <c r="K498" s="2">
        <v>0</v>
      </c>
      <c r="L498" s="2" t="s">
        <v>3</v>
      </c>
      <c r="M498" s="7" t="s">
        <v>15</v>
      </c>
      <c r="N498" s="7" t="s">
        <v>14</v>
      </c>
      <c r="O498" s="7" t="s">
        <v>193</v>
      </c>
      <c r="S498" s="7" t="s">
        <v>96</v>
      </c>
      <c r="T498" s="8" t="s">
        <v>20</v>
      </c>
      <c r="U498" s="8">
        <v>4</v>
      </c>
      <c r="V498" s="8">
        <v>145.38</v>
      </c>
      <c r="W498" s="8" t="s">
        <v>196</v>
      </c>
      <c r="X498" s="15">
        <v>45199</v>
      </c>
      <c r="Y498" s="15">
        <v>45222</v>
      </c>
      <c r="Z498" s="17" t="s">
        <v>201</v>
      </c>
      <c r="AA498" s="118">
        <v>42900</v>
      </c>
      <c r="AB498" s="7">
        <v>82</v>
      </c>
      <c r="AC498" s="7">
        <v>21</v>
      </c>
      <c r="AD498" s="15">
        <v>45868</v>
      </c>
      <c r="AE498" s="50">
        <v>500</v>
      </c>
      <c r="AF498" s="5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15"/>
      <c r="BA498" s="20"/>
      <c r="BB498" s="20"/>
      <c r="BD498" s="7"/>
      <c r="CS498" s="9">
        <f t="shared" si="37"/>
        <v>0</v>
      </c>
      <c r="CT498" s="20">
        <f t="shared" si="38"/>
        <v>0</v>
      </c>
      <c r="CU498" s="20">
        <f t="shared" si="40"/>
        <v>0</v>
      </c>
      <c r="CV498" s="24">
        <f t="shared" si="39"/>
        <v>500</v>
      </c>
    </row>
    <row r="499" spans="1:100" x14ac:dyDescent="0.2">
      <c r="A499" s="7" t="s">
        <v>192</v>
      </c>
      <c r="B499" s="1">
        <v>42</v>
      </c>
      <c r="C499" s="2" t="s">
        <v>36</v>
      </c>
      <c r="D499" s="59" t="s">
        <v>37</v>
      </c>
      <c r="E499" s="58"/>
      <c r="F499" s="58"/>
      <c r="G499" s="1" t="s">
        <v>20</v>
      </c>
      <c r="H499" s="1">
        <v>4</v>
      </c>
      <c r="I499" s="18">
        <v>145.38</v>
      </c>
      <c r="J499" s="18">
        <v>47900</v>
      </c>
      <c r="K499" s="2">
        <v>0</v>
      </c>
      <c r="L499" s="2" t="s">
        <v>3</v>
      </c>
      <c r="M499" s="7" t="s">
        <v>15</v>
      </c>
      <c r="N499" s="7" t="s">
        <v>14</v>
      </c>
      <c r="O499" s="7" t="s">
        <v>193</v>
      </c>
      <c r="S499" s="7" t="s">
        <v>96</v>
      </c>
      <c r="T499" s="8" t="s">
        <v>20</v>
      </c>
      <c r="U499" s="8">
        <v>4</v>
      </c>
      <c r="V499" s="8">
        <v>145.38</v>
      </c>
      <c r="W499" s="8" t="s">
        <v>196</v>
      </c>
      <c r="X499" s="15">
        <v>45199</v>
      </c>
      <c r="Y499" s="15">
        <v>45222</v>
      </c>
      <c r="Z499" s="17" t="s">
        <v>201</v>
      </c>
      <c r="AA499" s="118">
        <v>42900</v>
      </c>
      <c r="AB499" s="7">
        <v>82</v>
      </c>
      <c r="AC499" s="7">
        <v>22</v>
      </c>
      <c r="AD499" s="15">
        <v>45899</v>
      </c>
      <c r="AE499" s="50">
        <v>500</v>
      </c>
      <c r="AF499" s="5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7"/>
      <c r="BA499" s="20"/>
      <c r="BB499" s="20"/>
      <c r="BD499" s="7"/>
      <c r="CS499" s="9">
        <f t="shared" si="37"/>
        <v>0</v>
      </c>
      <c r="CT499" s="20">
        <f t="shared" si="38"/>
        <v>0</v>
      </c>
      <c r="CU499" s="20">
        <f t="shared" si="40"/>
        <v>0</v>
      </c>
      <c r="CV499" s="24">
        <f t="shared" si="39"/>
        <v>500</v>
      </c>
    </row>
    <row r="500" spans="1:100" x14ac:dyDescent="0.2">
      <c r="A500" s="7" t="s">
        <v>192</v>
      </c>
      <c r="B500" s="1">
        <v>42</v>
      </c>
      <c r="C500" s="2" t="s">
        <v>36</v>
      </c>
      <c r="D500" s="59" t="s">
        <v>37</v>
      </c>
      <c r="E500" s="58"/>
      <c r="F500" s="58"/>
      <c r="G500" s="1" t="s">
        <v>20</v>
      </c>
      <c r="H500" s="1">
        <v>4</v>
      </c>
      <c r="I500" s="18">
        <v>145.38</v>
      </c>
      <c r="J500" s="18">
        <v>47900</v>
      </c>
      <c r="K500" s="2">
        <v>0</v>
      </c>
      <c r="L500" s="2" t="s">
        <v>3</v>
      </c>
      <c r="M500" s="7" t="s">
        <v>15</v>
      </c>
      <c r="N500" s="7" t="s">
        <v>14</v>
      </c>
      <c r="O500" s="7" t="s">
        <v>193</v>
      </c>
      <c r="S500" s="7" t="s">
        <v>96</v>
      </c>
      <c r="T500" s="8" t="s">
        <v>20</v>
      </c>
      <c r="U500" s="8">
        <v>4</v>
      </c>
      <c r="V500" s="8">
        <v>145.38</v>
      </c>
      <c r="W500" s="8" t="s">
        <v>196</v>
      </c>
      <c r="X500" s="15">
        <v>45199</v>
      </c>
      <c r="Y500" s="15">
        <v>45222</v>
      </c>
      <c r="Z500" s="17" t="s">
        <v>201</v>
      </c>
      <c r="AA500" s="118">
        <v>42900</v>
      </c>
      <c r="AB500" s="7">
        <v>82</v>
      </c>
      <c r="AC500" s="7">
        <v>23</v>
      </c>
      <c r="AD500" s="15">
        <v>45930</v>
      </c>
      <c r="AE500" s="50">
        <v>500</v>
      </c>
      <c r="AF500" s="5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7"/>
      <c r="BA500" s="20"/>
      <c r="BB500" s="20"/>
      <c r="BD500" s="7"/>
      <c r="CS500" s="9">
        <f t="shared" si="37"/>
        <v>0</v>
      </c>
      <c r="CT500" s="20">
        <f t="shared" si="38"/>
        <v>0</v>
      </c>
      <c r="CU500" s="20">
        <f t="shared" si="40"/>
        <v>0</v>
      </c>
      <c r="CV500" s="24">
        <f t="shared" si="39"/>
        <v>500</v>
      </c>
    </row>
    <row r="501" spans="1:100" x14ac:dyDescent="0.2">
      <c r="A501" s="7" t="s">
        <v>192</v>
      </c>
      <c r="B501" s="1">
        <v>42</v>
      </c>
      <c r="C501" s="2" t="s">
        <v>36</v>
      </c>
      <c r="D501" s="59" t="s">
        <v>37</v>
      </c>
      <c r="E501" s="58"/>
      <c r="F501" s="58"/>
      <c r="G501" s="1" t="s">
        <v>20</v>
      </c>
      <c r="H501" s="1">
        <v>4</v>
      </c>
      <c r="I501" s="18">
        <v>145.38</v>
      </c>
      <c r="J501" s="18">
        <v>47900</v>
      </c>
      <c r="K501" s="2">
        <v>0</v>
      </c>
      <c r="L501" s="2" t="s">
        <v>3</v>
      </c>
      <c r="M501" s="7" t="s">
        <v>15</v>
      </c>
      <c r="N501" s="7" t="s">
        <v>14</v>
      </c>
      <c r="O501" s="7" t="s">
        <v>193</v>
      </c>
      <c r="S501" s="7" t="s">
        <v>96</v>
      </c>
      <c r="T501" s="8" t="s">
        <v>20</v>
      </c>
      <c r="U501" s="8">
        <v>4</v>
      </c>
      <c r="V501" s="8">
        <v>145.38</v>
      </c>
      <c r="W501" s="8" t="s">
        <v>196</v>
      </c>
      <c r="X501" s="15">
        <v>45199</v>
      </c>
      <c r="Y501" s="15">
        <v>45222</v>
      </c>
      <c r="Z501" s="17" t="s">
        <v>201</v>
      </c>
      <c r="AA501" s="118">
        <v>42900</v>
      </c>
      <c r="AB501" s="7">
        <v>82</v>
      </c>
      <c r="AC501" s="7">
        <v>24</v>
      </c>
      <c r="AD501" s="15">
        <v>45960</v>
      </c>
      <c r="AE501" s="50">
        <v>500</v>
      </c>
      <c r="AF501" s="5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7"/>
      <c r="BA501" s="20"/>
      <c r="BB501" s="20"/>
      <c r="BD501" s="7"/>
      <c r="CS501" s="9">
        <f t="shared" si="37"/>
        <v>0</v>
      </c>
      <c r="CT501" s="20">
        <f t="shared" si="38"/>
        <v>0</v>
      </c>
      <c r="CU501" s="20">
        <f t="shared" si="40"/>
        <v>0</v>
      </c>
      <c r="CV501" s="24">
        <f t="shared" si="39"/>
        <v>500</v>
      </c>
    </row>
    <row r="502" spans="1:100" ht="12.75" x14ac:dyDescent="0.2">
      <c r="A502" s="7" t="s">
        <v>192</v>
      </c>
      <c r="B502" s="1">
        <v>42</v>
      </c>
      <c r="C502" s="2" t="s">
        <v>36</v>
      </c>
      <c r="D502" s="59" t="s">
        <v>37</v>
      </c>
      <c r="E502" s="58"/>
      <c r="F502" s="58"/>
      <c r="G502" s="1" t="s">
        <v>20</v>
      </c>
      <c r="H502" s="1">
        <v>4</v>
      </c>
      <c r="I502" s="18">
        <v>145.38</v>
      </c>
      <c r="J502" s="18">
        <v>47900</v>
      </c>
      <c r="K502" s="2">
        <v>0</v>
      </c>
      <c r="L502" s="2" t="s">
        <v>3</v>
      </c>
      <c r="M502" s="7" t="s">
        <v>15</v>
      </c>
      <c r="N502" s="7" t="s">
        <v>14</v>
      </c>
      <c r="O502" s="7" t="s">
        <v>193</v>
      </c>
      <c r="S502" s="7" t="s">
        <v>96</v>
      </c>
      <c r="T502" s="8" t="s">
        <v>20</v>
      </c>
      <c r="U502" s="8">
        <v>4</v>
      </c>
      <c r="V502" s="8">
        <v>145.38</v>
      </c>
      <c r="W502" s="8" t="s">
        <v>196</v>
      </c>
      <c r="X502" s="15">
        <v>45199</v>
      </c>
      <c r="Y502" s="15">
        <v>45222</v>
      </c>
      <c r="Z502" s="17" t="s">
        <v>201</v>
      </c>
      <c r="AA502" s="118">
        <v>42900</v>
      </c>
      <c r="AB502" s="7">
        <v>82</v>
      </c>
      <c r="AC502" s="7">
        <v>25</v>
      </c>
      <c r="AD502" s="15">
        <v>45991</v>
      </c>
      <c r="AE502" s="50">
        <v>500</v>
      </c>
      <c r="AF502" s="5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7"/>
      <c r="AY502" s="81"/>
      <c r="BA502" s="20"/>
      <c r="BB502" s="20"/>
      <c r="BD502" s="7"/>
      <c r="CS502" s="9">
        <f t="shared" si="37"/>
        <v>0</v>
      </c>
      <c r="CT502" s="20">
        <f t="shared" si="38"/>
        <v>0</v>
      </c>
      <c r="CU502" s="20">
        <f t="shared" si="40"/>
        <v>0</v>
      </c>
      <c r="CV502" s="24">
        <f t="shared" si="39"/>
        <v>500</v>
      </c>
    </row>
    <row r="503" spans="1:100" ht="12.75" x14ac:dyDescent="0.2">
      <c r="A503" s="7" t="s">
        <v>192</v>
      </c>
      <c r="B503" s="1">
        <v>42</v>
      </c>
      <c r="C503" s="2" t="s">
        <v>36</v>
      </c>
      <c r="D503" s="59" t="s">
        <v>37</v>
      </c>
      <c r="E503" s="58"/>
      <c r="F503" s="58"/>
      <c r="G503" s="1" t="s">
        <v>20</v>
      </c>
      <c r="H503" s="1">
        <v>4</v>
      </c>
      <c r="I503" s="18">
        <v>145.38</v>
      </c>
      <c r="J503" s="18">
        <v>47900</v>
      </c>
      <c r="K503" s="2">
        <v>0</v>
      </c>
      <c r="L503" s="2" t="s">
        <v>3</v>
      </c>
      <c r="M503" s="7" t="s">
        <v>15</v>
      </c>
      <c r="N503" s="7" t="s">
        <v>14</v>
      </c>
      <c r="O503" s="7" t="s">
        <v>193</v>
      </c>
      <c r="S503" s="7" t="s">
        <v>96</v>
      </c>
      <c r="T503" s="8" t="s">
        <v>20</v>
      </c>
      <c r="U503" s="8">
        <v>4</v>
      </c>
      <c r="V503" s="8">
        <v>145.38</v>
      </c>
      <c r="W503" s="8" t="s">
        <v>196</v>
      </c>
      <c r="X503" s="15">
        <v>45199</v>
      </c>
      <c r="Y503" s="15">
        <v>45222</v>
      </c>
      <c r="Z503" s="17" t="s">
        <v>201</v>
      </c>
      <c r="AA503" s="118">
        <v>42900</v>
      </c>
      <c r="AB503" s="7">
        <v>82</v>
      </c>
      <c r="AC503" s="7">
        <v>26</v>
      </c>
      <c r="AD503" s="15">
        <v>46021</v>
      </c>
      <c r="AE503" s="50">
        <v>500</v>
      </c>
      <c r="AF503" s="5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80"/>
      <c r="AX503" s="84"/>
      <c r="AY503" s="81"/>
      <c r="BA503" s="20"/>
      <c r="BB503" s="20"/>
      <c r="BD503" s="7"/>
      <c r="CS503" s="9">
        <f t="shared" si="37"/>
        <v>0</v>
      </c>
      <c r="CT503" s="20">
        <f t="shared" si="38"/>
        <v>0</v>
      </c>
      <c r="CU503" s="20">
        <f t="shared" si="40"/>
        <v>0</v>
      </c>
      <c r="CV503" s="24">
        <f t="shared" si="39"/>
        <v>500</v>
      </c>
    </row>
    <row r="504" spans="1:100" x14ac:dyDescent="0.2">
      <c r="A504" s="7" t="s">
        <v>192</v>
      </c>
      <c r="B504" s="1">
        <v>42</v>
      </c>
      <c r="C504" s="2" t="s">
        <v>36</v>
      </c>
      <c r="D504" s="59" t="s">
        <v>37</v>
      </c>
      <c r="E504" s="58"/>
      <c r="F504" s="58"/>
      <c r="G504" s="1" t="s">
        <v>20</v>
      </c>
      <c r="H504" s="1">
        <v>4</v>
      </c>
      <c r="I504" s="18">
        <v>145.38</v>
      </c>
      <c r="J504" s="18">
        <v>47900</v>
      </c>
      <c r="K504" s="2">
        <v>0</v>
      </c>
      <c r="L504" s="2" t="s">
        <v>3</v>
      </c>
      <c r="M504" s="7" t="s">
        <v>15</v>
      </c>
      <c r="N504" s="7" t="s">
        <v>14</v>
      </c>
      <c r="O504" s="7" t="s">
        <v>193</v>
      </c>
      <c r="S504" s="7" t="s">
        <v>96</v>
      </c>
      <c r="T504" s="8" t="s">
        <v>20</v>
      </c>
      <c r="U504" s="8">
        <v>4</v>
      </c>
      <c r="V504" s="8">
        <v>145.38</v>
      </c>
      <c r="W504" s="8" t="s">
        <v>196</v>
      </c>
      <c r="X504" s="15">
        <v>45199</v>
      </c>
      <c r="Y504" s="15">
        <v>45222</v>
      </c>
      <c r="Z504" s="17" t="s">
        <v>201</v>
      </c>
      <c r="AA504" s="118">
        <v>42900</v>
      </c>
      <c r="AB504" s="7">
        <v>82</v>
      </c>
      <c r="AC504" s="7">
        <v>27</v>
      </c>
      <c r="AD504" s="15">
        <v>46052</v>
      </c>
      <c r="AE504" s="50">
        <v>500</v>
      </c>
      <c r="AF504" s="5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7"/>
      <c r="BA504" s="20"/>
      <c r="BB504" s="20"/>
      <c r="BD504" s="7"/>
      <c r="CS504" s="9">
        <f t="shared" si="37"/>
        <v>0</v>
      </c>
      <c r="CT504" s="20">
        <f t="shared" si="38"/>
        <v>0</v>
      </c>
      <c r="CU504" s="20">
        <f t="shared" si="40"/>
        <v>0</v>
      </c>
      <c r="CV504" s="24">
        <f t="shared" si="39"/>
        <v>500</v>
      </c>
    </row>
    <row r="505" spans="1:100" x14ac:dyDescent="0.2">
      <c r="A505" s="7" t="s">
        <v>192</v>
      </c>
      <c r="B505" s="1">
        <v>42</v>
      </c>
      <c r="C505" s="2" t="s">
        <v>36</v>
      </c>
      <c r="D505" s="59" t="s">
        <v>37</v>
      </c>
      <c r="E505" s="58"/>
      <c r="F505" s="58"/>
      <c r="G505" s="1" t="s">
        <v>20</v>
      </c>
      <c r="H505" s="1">
        <v>4</v>
      </c>
      <c r="I505" s="18">
        <v>145.38</v>
      </c>
      <c r="J505" s="18">
        <v>47900</v>
      </c>
      <c r="K505" s="2">
        <v>0</v>
      </c>
      <c r="L505" s="2" t="s">
        <v>3</v>
      </c>
      <c r="M505" s="7" t="s">
        <v>15</v>
      </c>
      <c r="N505" s="7" t="s">
        <v>14</v>
      </c>
      <c r="O505" s="7" t="s">
        <v>193</v>
      </c>
      <c r="S505" s="7" t="s">
        <v>96</v>
      </c>
      <c r="T505" s="8" t="s">
        <v>20</v>
      </c>
      <c r="U505" s="8">
        <v>4</v>
      </c>
      <c r="V505" s="8">
        <v>145.38</v>
      </c>
      <c r="W505" s="8" t="s">
        <v>196</v>
      </c>
      <c r="X505" s="15">
        <v>45199</v>
      </c>
      <c r="Y505" s="15">
        <v>45222</v>
      </c>
      <c r="Z505" s="17" t="s">
        <v>201</v>
      </c>
      <c r="AA505" s="118">
        <v>42900</v>
      </c>
      <c r="AB505" s="7">
        <v>82</v>
      </c>
      <c r="AC505" s="7">
        <v>28</v>
      </c>
      <c r="AD505" s="15">
        <v>46081</v>
      </c>
      <c r="AE505" s="50">
        <v>500</v>
      </c>
      <c r="AF505" s="5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7"/>
      <c r="BA505" s="20"/>
      <c r="BB505" s="20"/>
      <c r="BD505" s="7"/>
      <c r="CS505" s="9">
        <f t="shared" ref="CS505:CS559" si="41">+AL505+AT505</f>
        <v>0</v>
      </c>
      <c r="CT505" s="20">
        <f t="shared" ref="CT505:CT559" si="42">+BA505+BG505+BM505+BS505+BY505+CE505+CK505+CQ505</f>
        <v>0</v>
      </c>
      <c r="CU505" s="20">
        <f t="shared" si="40"/>
        <v>0</v>
      </c>
      <c r="CV505" s="24">
        <f t="shared" ref="CV505:CV559" si="43">+AE505-AL505-AT505</f>
        <v>500</v>
      </c>
    </row>
    <row r="506" spans="1:100" x14ac:dyDescent="0.2">
      <c r="A506" s="7" t="s">
        <v>192</v>
      </c>
      <c r="B506" s="1">
        <v>42</v>
      </c>
      <c r="C506" s="2" t="s">
        <v>36</v>
      </c>
      <c r="D506" s="59" t="s">
        <v>37</v>
      </c>
      <c r="E506" s="58"/>
      <c r="F506" s="58"/>
      <c r="G506" s="1" t="s">
        <v>20</v>
      </c>
      <c r="H506" s="1">
        <v>4</v>
      </c>
      <c r="I506" s="18">
        <v>145.38</v>
      </c>
      <c r="J506" s="18">
        <v>47900</v>
      </c>
      <c r="K506" s="2">
        <v>0</v>
      </c>
      <c r="L506" s="2" t="s">
        <v>3</v>
      </c>
      <c r="M506" s="7" t="s">
        <v>15</v>
      </c>
      <c r="N506" s="7" t="s">
        <v>14</v>
      </c>
      <c r="O506" s="7" t="s">
        <v>193</v>
      </c>
      <c r="S506" s="7" t="s">
        <v>96</v>
      </c>
      <c r="T506" s="8" t="s">
        <v>20</v>
      </c>
      <c r="U506" s="8">
        <v>4</v>
      </c>
      <c r="V506" s="8">
        <v>145.38</v>
      </c>
      <c r="W506" s="8" t="s">
        <v>196</v>
      </c>
      <c r="X506" s="15">
        <v>45199</v>
      </c>
      <c r="Y506" s="15">
        <v>45222</v>
      </c>
      <c r="Z506" s="17" t="s">
        <v>201</v>
      </c>
      <c r="AA506" s="118">
        <v>42900</v>
      </c>
      <c r="AB506" s="7">
        <v>82</v>
      </c>
      <c r="AC506" s="7">
        <v>29</v>
      </c>
      <c r="AD506" s="15">
        <v>46111</v>
      </c>
      <c r="AE506" s="50">
        <v>500</v>
      </c>
      <c r="AF506" s="5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7"/>
      <c r="BA506" s="20"/>
      <c r="BB506" s="20"/>
      <c r="BD506" s="7"/>
      <c r="CS506" s="9">
        <f t="shared" si="41"/>
        <v>0</v>
      </c>
      <c r="CT506" s="20">
        <f t="shared" si="42"/>
        <v>0</v>
      </c>
      <c r="CU506" s="20">
        <f t="shared" si="40"/>
        <v>0</v>
      </c>
      <c r="CV506" s="24">
        <f t="shared" si="43"/>
        <v>500</v>
      </c>
    </row>
    <row r="507" spans="1:100" x14ac:dyDescent="0.2">
      <c r="A507" s="7" t="s">
        <v>192</v>
      </c>
      <c r="B507" s="1">
        <v>42</v>
      </c>
      <c r="C507" s="2" t="s">
        <v>36</v>
      </c>
      <c r="D507" s="59" t="s">
        <v>37</v>
      </c>
      <c r="E507" s="58"/>
      <c r="F507" s="58"/>
      <c r="G507" s="1" t="s">
        <v>20</v>
      </c>
      <c r="H507" s="1">
        <v>4</v>
      </c>
      <c r="I507" s="18">
        <v>145.38</v>
      </c>
      <c r="J507" s="18">
        <v>47900</v>
      </c>
      <c r="K507" s="2">
        <v>0</v>
      </c>
      <c r="L507" s="2" t="s">
        <v>3</v>
      </c>
      <c r="M507" s="7" t="s">
        <v>15</v>
      </c>
      <c r="N507" s="7" t="s">
        <v>14</v>
      </c>
      <c r="O507" s="7" t="s">
        <v>193</v>
      </c>
      <c r="S507" s="7" t="s">
        <v>96</v>
      </c>
      <c r="T507" s="8" t="s">
        <v>20</v>
      </c>
      <c r="U507" s="8">
        <v>4</v>
      </c>
      <c r="V507" s="8">
        <v>145.38</v>
      </c>
      <c r="W507" s="8" t="s">
        <v>196</v>
      </c>
      <c r="X507" s="15">
        <v>45199</v>
      </c>
      <c r="Y507" s="15">
        <v>45222</v>
      </c>
      <c r="Z507" s="17" t="s">
        <v>201</v>
      </c>
      <c r="AA507" s="118">
        <v>42900</v>
      </c>
      <c r="AB507" s="7">
        <v>82</v>
      </c>
      <c r="AC507" s="7">
        <v>30</v>
      </c>
      <c r="AD507" s="15">
        <v>46142</v>
      </c>
      <c r="AE507" s="50">
        <v>500</v>
      </c>
      <c r="AF507" s="5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7"/>
      <c r="BA507" s="20"/>
      <c r="BB507" s="20"/>
      <c r="BD507" s="7"/>
      <c r="CS507" s="9">
        <f t="shared" si="41"/>
        <v>0</v>
      </c>
      <c r="CT507" s="20">
        <f t="shared" si="42"/>
        <v>0</v>
      </c>
      <c r="CU507" s="20">
        <f t="shared" si="40"/>
        <v>0</v>
      </c>
      <c r="CV507" s="24">
        <f t="shared" si="43"/>
        <v>500</v>
      </c>
    </row>
    <row r="508" spans="1:100" x14ac:dyDescent="0.2">
      <c r="A508" s="7" t="s">
        <v>192</v>
      </c>
      <c r="B508" s="1">
        <v>42</v>
      </c>
      <c r="C508" s="2" t="s">
        <v>36</v>
      </c>
      <c r="D508" s="59" t="s">
        <v>37</v>
      </c>
      <c r="E508" s="58"/>
      <c r="F508" s="58"/>
      <c r="G508" s="1" t="s">
        <v>20</v>
      </c>
      <c r="H508" s="1">
        <v>4</v>
      </c>
      <c r="I508" s="18">
        <v>145.38</v>
      </c>
      <c r="J508" s="18">
        <v>47900</v>
      </c>
      <c r="K508" s="2">
        <v>0</v>
      </c>
      <c r="L508" s="2" t="s">
        <v>3</v>
      </c>
      <c r="M508" s="7" t="s">
        <v>15</v>
      </c>
      <c r="N508" s="7" t="s">
        <v>14</v>
      </c>
      <c r="O508" s="7" t="s">
        <v>193</v>
      </c>
      <c r="S508" s="7" t="s">
        <v>96</v>
      </c>
      <c r="T508" s="8" t="s">
        <v>20</v>
      </c>
      <c r="U508" s="8">
        <v>4</v>
      </c>
      <c r="V508" s="8">
        <v>145.38</v>
      </c>
      <c r="W508" s="8" t="s">
        <v>196</v>
      </c>
      <c r="X508" s="15">
        <v>45199</v>
      </c>
      <c r="Y508" s="15">
        <v>45222</v>
      </c>
      <c r="Z508" s="17" t="s">
        <v>201</v>
      </c>
      <c r="AA508" s="118">
        <v>42900</v>
      </c>
      <c r="AB508" s="7">
        <v>82</v>
      </c>
      <c r="AC508" s="7">
        <v>31</v>
      </c>
      <c r="AD508" s="15">
        <v>46172</v>
      </c>
      <c r="AE508" s="50">
        <v>500</v>
      </c>
      <c r="AF508" s="5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7"/>
      <c r="BA508" s="20"/>
      <c r="BB508" s="20"/>
      <c r="BD508" s="7"/>
      <c r="CS508" s="9">
        <f t="shared" si="41"/>
        <v>0</v>
      </c>
      <c r="CT508" s="20">
        <f t="shared" si="42"/>
        <v>0</v>
      </c>
      <c r="CU508" s="20">
        <f t="shared" si="40"/>
        <v>0</v>
      </c>
      <c r="CV508" s="24">
        <f t="shared" si="43"/>
        <v>500</v>
      </c>
    </row>
    <row r="509" spans="1:100" x14ac:dyDescent="0.2">
      <c r="A509" s="7" t="s">
        <v>192</v>
      </c>
      <c r="B509" s="1">
        <v>42</v>
      </c>
      <c r="C509" s="2" t="s">
        <v>36</v>
      </c>
      <c r="D509" s="59" t="s">
        <v>37</v>
      </c>
      <c r="E509" s="58"/>
      <c r="F509" s="58"/>
      <c r="G509" s="1" t="s">
        <v>20</v>
      </c>
      <c r="H509" s="1">
        <v>4</v>
      </c>
      <c r="I509" s="18">
        <v>145.38</v>
      </c>
      <c r="J509" s="18">
        <v>47900</v>
      </c>
      <c r="K509" s="2">
        <v>0</v>
      </c>
      <c r="L509" s="2" t="s">
        <v>3</v>
      </c>
      <c r="M509" s="7" t="s">
        <v>15</v>
      </c>
      <c r="N509" s="7" t="s">
        <v>14</v>
      </c>
      <c r="O509" s="7" t="s">
        <v>193</v>
      </c>
      <c r="S509" s="7" t="s">
        <v>96</v>
      </c>
      <c r="T509" s="8" t="s">
        <v>20</v>
      </c>
      <c r="U509" s="8">
        <v>4</v>
      </c>
      <c r="V509" s="8">
        <v>145.38</v>
      </c>
      <c r="W509" s="8" t="s">
        <v>196</v>
      </c>
      <c r="X509" s="15">
        <v>45199</v>
      </c>
      <c r="Y509" s="15">
        <v>45222</v>
      </c>
      <c r="Z509" s="17" t="s">
        <v>201</v>
      </c>
      <c r="AA509" s="118">
        <v>42900</v>
      </c>
      <c r="AB509" s="7">
        <v>82</v>
      </c>
      <c r="AC509" s="7">
        <v>32</v>
      </c>
      <c r="AD509" s="15">
        <v>46203</v>
      </c>
      <c r="AE509" s="50">
        <v>500</v>
      </c>
      <c r="AF509" s="5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7"/>
      <c r="BA509" s="20"/>
      <c r="BB509" s="20"/>
      <c r="BD509" s="7"/>
      <c r="CS509" s="9">
        <f t="shared" si="41"/>
        <v>0</v>
      </c>
      <c r="CT509" s="20">
        <f t="shared" si="42"/>
        <v>0</v>
      </c>
      <c r="CU509" s="20">
        <f t="shared" si="40"/>
        <v>0</v>
      </c>
      <c r="CV509" s="24">
        <f t="shared" si="43"/>
        <v>500</v>
      </c>
    </row>
    <row r="510" spans="1:100" x14ac:dyDescent="0.2">
      <c r="A510" s="7" t="s">
        <v>192</v>
      </c>
      <c r="B510" s="1">
        <v>42</v>
      </c>
      <c r="C510" s="2" t="s">
        <v>36</v>
      </c>
      <c r="D510" s="59" t="s">
        <v>37</v>
      </c>
      <c r="E510" s="58"/>
      <c r="F510" s="58"/>
      <c r="G510" s="1" t="s">
        <v>20</v>
      </c>
      <c r="H510" s="1">
        <v>4</v>
      </c>
      <c r="I510" s="18">
        <v>145.38</v>
      </c>
      <c r="J510" s="18">
        <v>47900</v>
      </c>
      <c r="K510" s="2">
        <v>0</v>
      </c>
      <c r="L510" s="2" t="s">
        <v>3</v>
      </c>
      <c r="M510" s="7" t="s">
        <v>15</v>
      </c>
      <c r="N510" s="7" t="s">
        <v>14</v>
      </c>
      <c r="O510" s="7" t="s">
        <v>193</v>
      </c>
      <c r="S510" s="7" t="s">
        <v>96</v>
      </c>
      <c r="T510" s="8" t="s">
        <v>20</v>
      </c>
      <c r="U510" s="8">
        <v>4</v>
      </c>
      <c r="V510" s="8">
        <v>145.38</v>
      </c>
      <c r="W510" s="8" t="s">
        <v>196</v>
      </c>
      <c r="X510" s="15">
        <v>45199</v>
      </c>
      <c r="Y510" s="15">
        <v>45222</v>
      </c>
      <c r="Z510" s="17" t="s">
        <v>201</v>
      </c>
      <c r="AA510" s="118">
        <v>42900</v>
      </c>
      <c r="AB510" s="7">
        <v>82</v>
      </c>
      <c r="AC510" s="7">
        <v>33</v>
      </c>
      <c r="AD510" s="15">
        <v>46233</v>
      </c>
      <c r="AE510" s="50">
        <v>500</v>
      </c>
      <c r="AF510" s="5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7"/>
      <c r="BA510" s="20"/>
      <c r="BB510" s="20"/>
      <c r="BD510" s="7"/>
      <c r="CS510" s="9">
        <f t="shared" si="41"/>
        <v>0</v>
      </c>
      <c r="CT510" s="20">
        <f t="shared" si="42"/>
        <v>0</v>
      </c>
      <c r="CU510" s="20">
        <f t="shared" si="40"/>
        <v>0</v>
      </c>
      <c r="CV510" s="24">
        <f t="shared" si="43"/>
        <v>500</v>
      </c>
    </row>
    <row r="511" spans="1:100" x14ac:dyDescent="0.2">
      <c r="A511" s="7" t="s">
        <v>192</v>
      </c>
      <c r="B511" s="1">
        <v>42</v>
      </c>
      <c r="C511" s="2" t="s">
        <v>36</v>
      </c>
      <c r="D511" s="59" t="s">
        <v>37</v>
      </c>
      <c r="E511" s="58"/>
      <c r="F511" s="58"/>
      <c r="G511" s="1" t="s">
        <v>20</v>
      </c>
      <c r="H511" s="1">
        <v>4</v>
      </c>
      <c r="I511" s="18">
        <v>145.38</v>
      </c>
      <c r="J511" s="18">
        <v>47900</v>
      </c>
      <c r="K511" s="2">
        <v>0</v>
      </c>
      <c r="L511" s="2" t="s">
        <v>3</v>
      </c>
      <c r="M511" s="7" t="s">
        <v>15</v>
      </c>
      <c r="N511" s="7" t="s">
        <v>14</v>
      </c>
      <c r="O511" s="7" t="s">
        <v>193</v>
      </c>
      <c r="S511" s="7" t="s">
        <v>96</v>
      </c>
      <c r="T511" s="8" t="s">
        <v>20</v>
      </c>
      <c r="U511" s="8">
        <v>4</v>
      </c>
      <c r="V511" s="8">
        <v>145.38</v>
      </c>
      <c r="W511" s="8" t="s">
        <v>196</v>
      </c>
      <c r="X511" s="15">
        <v>45199</v>
      </c>
      <c r="Y511" s="15">
        <v>45222</v>
      </c>
      <c r="Z511" s="17" t="s">
        <v>201</v>
      </c>
      <c r="AA511" s="118">
        <v>42900</v>
      </c>
      <c r="AB511" s="7">
        <v>82</v>
      </c>
      <c r="AC511" s="7">
        <v>34</v>
      </c>
      <c r="AD511" s="15">
        <v>46264</v>
      </c>
      <c r="AE511" s="50">
        <v>500</v>
      </c>
      <c r="AF511" s="5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7"/>
      <c r="BA511" s="20"/>
      <c r="BB511" s="20"/>
      <c r="BD511" s="7"/>
      <c r="CS511" s="9">
        <f t="shared" si="41"/>
        <v>0</v>
      </c>
      <c r="CT511" s="20">
        <f t="shared" si="42"/>
        <v>0</v>
      </c>
      <c r="CU511" s="20">
        <f t="shared" si="40"/>
        <v>0</v>
      </c>
      <c r="CV511" s="24">
        <f t="shared" si="43"/>
        <v>500</v>
      </c>
    </row>
    <row r="512" spans="1:100" x14ac:dyDescent="0.2">
      <c r="A512" s="7" t="s">
        <v>192</v>
      </c>
      <c r="B512" s="1">
        <v>42</v>
      </c>
      <c r="C512" s="2" t="s">
        <v>36</v>
      </c>
      <c r="D512" s="59" t="s">
        <v>37</v>
      </c>
      <c r="E512" s="58"/>
      <c r="F512" s="58"/>
      <c r="G512" s="1" t="s">
        <v>20</v>
      </c>
      <c r="H512" s="1">
        <v>4</v>
      </c>
      <c r="I512" s="18">
        <v>145.38</v>
      </c>
      <c r="J512" s="18">
        <v>47900</v>
      </c>
      <c r="K512" s="2">
        <v>0</v>
      </c>
      <c r="L512" s="2" t="s">
        <v>3</v>
      </c>
      <c r="M512" s="7" t="s">
        <v>15</v>
      </c>
      <c r="N512" s="7" t="s">
        <v>14</v>
      </c>
      <c r="O512" s="7" t="s">
        <v>193</v>
      </c>
      <c r="S512" s="7" t="s">
        <v>96</v>
      </c>
      <c r="T512" s="8" t="s">
        <v>20</v>
      </c>
      <c r="U512" s="8">
        <v>4</v>
      </c>
      <c r="V512" s="8">
        <v>145.38</v>
      </c>
      <c r="W512" s="8" t="s">
        <v>196</v>
      </c>
      <c r="X512" s="15">
        <v>45199</v>
      </c>
      <c r="Y512" s="15">
        <v>45222</v>
      </c>
      <c r="Z512" s="17" t="s">
        <v>201</v>
      </c>
      <c r="AA512" s="118">
        <v>42900</v>
      </c>
      <c r="AB512" s="7">
        <v>82</v>
      </c>
      <c r="AC512" s="7">
        <v>35</v>
      </c>
      <c r="AD512" s="15">
        <v>46295</v>
      </c>
      <c r="AE512" s="50">
        <v>500</v>
      </c>
      <c r="AF512" s="5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7"/>
      <c r="BA512" s="20"/>
      <c r="BB512" s="20"/>
      <c r="BD512" s="7"/>
      <c r="CS512" s="9">
        <f t="shared" si="41"/>
        <v>0</v>
      </c>
      <c r="CT512" s="20">
        <f t="shared" si="42"/>
        <v>0</v>
      </c>
      <c r="CU512" s="20">
        <f t="shared" si="40"/>
        <v>0</v>
      </c>
      <c r="CV512" s="24">
        <f t="shared" si="43"/>
        <v>500</v>
      </c>
    </row>
    <row r="513" spans="1:100" x14ac:dyDescent="0.2">
      <c r="A513" s="7" t="s">
        <v>192</v>
      </c>
      <c r="B513" s="1">
        <v>42</v>
      </c>
      <c r="C513" s="2" t="s">
        <v>36</v>
      </c>
      <c r="D513" s="59" t="s">
        <v>37</v>
      </c>
      <c r="E513" s="58"/>
      <c r="F513" s="58"/>
      <c r="G513" s="1" t="s">
        <v>20</v>
      </c>
      <c r="H513" s="1">
        <v>4</v>
      </c>
      <c r="I513" s="18">
        <v>145.38</v>
      </c>
      <c r="J513" s="18">
        <v>47900</v>
      </c>
      <c r="K513" s="2">
        <v>0</v>
      </c>
      <c r="L513" s="2" t="s">
        <v>3</v>
      </c>
      <c r="M513" s="7" t="s">
        <v>15</v>
      </c>
      <c r="N513" s="7" t="s">
        <v>14</v>
      </c>
      <c r="O513" s="7" t="s">
        <v>193</v>
      </c>
      <c r="S513" s="7" t="s">
        <v>96</v>
      </c>
      <c r="T513" s="8" t="s">
        <v>20</v>
      </c>
      <c r="U513" s="8">
        <v>4</v>
      </c>
      <c r="V513" s="8">
        <v>145.38</v>
      </c>
      <c r="W513" s="8" t="s">
        <v>196</v>
      </c>
      <c r="X513" s="15">
        <v>45199</v>
      </c>
      <c r="Y513" s="15">
        <v>45222</v>
      </c>
      <c r="Z513" s="17" t="s">
        <v>201</v>
      </c>
      <c r="AA513" s="118">
        <v>42900</v>
      </c>
      <c r="AB513" s="7">
        <v>82</v>
      </c>
      <c r="AC513" s="7">
        <v>36</v>
      </c>
      <c r="AD513" s="15">
        <v>46325</v>
      </c>
      <c r="AE513" s="50">
        <v>500</v>
      </c>
      <c r="AF513" s="5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7"/>
      <c r="BA513" s="20"/>
      <c r="BB513" s="20"/>
      <c r="BD513" s="7"/>
      <c r="CS513" s="9">
        <f t="shared" si="41"/>
        <v>0</v>
      </c>
      <c r="CT513" s="20">
        <f t="shared" si="42"/>
        <v>0</v>
      </c>
      <c r="CU513" s="20">
        <f t="shared" si="40"/>
        <v>0</v>
      </c>
      <c r="CV513" s="24">
        <f t="shared" si="43"/>
        <v>500</v>
      </c>
    </row>
    <row r="514" spans="1:100" x14ac:dyDescent="0.2">
      <c r="A514" s="7" t="s">
        <v>192</v>
      </c>
      <c r="B514" s="1">
        <v>42</v>
      </c>
      <c r="C514" s="2" t="s">
        <v>36</v>
      </c>
      <c r="D514" s="59" t="s">
        <v>37</v>
      </c>
      <c r="E514" s="58"/>
      <c r="F514" s="58"/>
      <c r="G514" s="1" t="s">
        <v>20</v>
      </c>
      <c r="H514" s="1">
        <v>4</v>
      </c>
      <c r="I514" s="18">
        <v>145.38</v>
      </c>
      <c r="J514" s="18">
        <v>47900</v>
      </c>
      <c r="K514" s="2">
        <v>0</v>
      </c>
      <c r="L514" s="2" t="s">
        <v>3</v>
      </c>
      <c r="M514" s="7" t="s">
        <v>15</v>
      </c>
      <c r="N514" s="7" t="s">
        <v>14</v>
      </c>
      <c r="O514" s="7" t="s">
        <v>193</v>
      </c>
      <c r="S514" s="7" t="s">
        <v>96</v>
      </c>
      <c r="T514" s="8" t="s">
        <v>20</v>
      </c>
      <c r="U514" s="8">
        <v>4</v>
      </c>
      <c r="V514" s="8">
        <v>145.38</v>
      </c>
      <c r="W514" s="8" t="s">
        <v>196</v>
      </c>
      <c r="X514" s="15">
        <v>45199</v>
      </c>
      <c r="Y514" s="15">
        <v>45222</v>
      </c>
      <c r="Z514" s="17" t="s">
        <v>201</v>
      </c>
      <c r="AA514" s="118">
        <v>42900</v>
      </c>
      <c r="AB514" s="7">
        <v>82</v>
      </c>
      <c r="AC514" s="7">
        <v>37</v>
      </c>
      <c r="AD514" s="15">
        <v>46356</v>
      </c>
      <c r="AE514" s="50">
        <v>500</v>
      </c>
      <c r="AF514" s="5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7"/>
      <c r="BA514" s="20"/>
      <c r="BB514" s="20"/>
      <c r="BD514" s="7"/>
      <c r="CS514" s="9">
        <f t="shared" si="41"/>
        <v>0</v>
      </c>
      <c r="CT514" s="20">
        <f t="shared" si="42"/>
        <v>0</v>
      </c>
      <c r="CU514" s="20">
        <f t="shared" si="40"/>
        <v>0</v>
      </c>
      <c r="CV514" s="24">
        <f t="shared" si="43"/>
        <v>500</v>
      </c>
    </row>
    <row r="515" spans="1:100" x14ac:dyDescent="0.2">
      <c r="A515" s="7" t="s">
        <v>192</v>
      </c>
      <c r="B515" s="1">
        <v>42</v>
      </c>
      <c r="C515" s="2" t="s">
        <v>36</v>
      </c>
      <c r="D515" s="59" t="s">
        <v>37</v>
      </c>
      <c r="E515" s="58"/>
      <c r="F515" s="58"/>
      <c r="G515" s="1" t="s">
        <v>20</v>
      </c>
      <c r="H515" s="1">
        <v>4</v>
      </c>
      <c r="I515" s="18">
        <v>145.38</v>
      </c>
      <c r="J515" s="18">
        <v>47900</v>
      </c>
      <c r="K515" s="2">
        <v>0</v>
      </c>
      <c r="L515" s="2" t="s">
        <v>3</v>
      </c>
      <c r="M515" s="7" t="s">
        <v>15</v>
      </c>
      <c r="N515" s="7" t="s">
        <v>14</v>
      </c>
      <c r="O515" s="7" t="s">
        <v>193</v>
      </c>
      <c r="S515" s="7" t="s">
        <v>96</v>
      </c>
      <c r="T515" s="8" t="s">
        <v>20</v>
      </c>
      <c r="U515" s="8">
        <v>4</v>
      </c>
      <c r="V515" s="8">
        <v>145.38</v>
      </c>
      <c r="W515" s="8" t="s">
        <v>196</v>
      </c>
      <c r="X515" s="15">
        <v>45199</v>
      </c>
      <c r="Y515" s="15">
        <v>45222</v>
      </c>
      <c r="Z515" s="17" t="s">
        <v>201</v>
      </c>
      <c r="AA515" s="118">
        <v>42900</v>
      </c>
      <c r="AB515" s="7">
        <v>82</v>
      </c>
      <c r="AC515" s="7">
        <v>38</v>
      </c>
      <c r="AD515" s="15">
        <v>46386</v>
      </c>
      <c r="AE515" s="50">
        <v>500</v>
      </c>
      <c r="AF515" s="5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7"/>
      <c r="BA515" s="20"/>
      <c r="BB515" s="20"/>
      <c r="BD515" s="7"/>
      <c r="CS515" s="9">
        <f t="shared" si="41"/>
        <v>0</v>
      </c>
      <c r="CT515" s="20">
        <f t="shared" si="42"/>
        <v>0</v>
      </c>
      <c r="CU515" s="20">
        <f t="shared" si="40"/>
        <v>0</v>
      </c>
      <c r="CV515" s="24">
        <f t="shared" si="43"/>
        <v>500</v>
      </c>
    </row>
    <row r="516" spans="1:100" x14ac:dyDescent="0.2">
      <c r="A516" s="7" t="s">
        <v>192</v>
      </c>
      <c r="B516" s="1">
        <v>42</v>
      </c>
      <c r="C516" s="2" t="s">
        <v>36</v>
      </c>
      <c r="D516" s="59" t="s">
        <v>37</v>
      </c>
      <c r="E516" s="58"/>
      <c r="F516" s="58"/>
      <c r="G516" s="1" t="s">
        <v>20</v>
      </c>
      <c r="H516" s="1">
        <v>4</v>
      </c>
      <c r="I516" s="18">
        <v>145.38</v>
      </c>
      <c r="J516" s="18">
        <v>47900</v>
      </c>
      <c r="K516" s="2">
        <v>0</v>
      </c>
      <c r="L516" s="2" t="s">
        <v>3</v>
      </c>
      <c r="M516" s="7" t="s">
        <v>15</v>
      </c>
      <c r="N516" s="7" t="s">
        <v>14</v>
      </c>
      <c r="O516" s="7" t="s">
        <v>193</v>
      </c>
      <c r="S516" s="7" t="s">
        <v>96</v>
      </c>
      <c r="T516" s="8" t="s">
        <v>20</v>
      </c>
      <c r="U516" s="8">
        <v>4</v>
      </c>
      <c r="V516" s="8">
        <v>145.38</v>
      </c>
      <c r="W516" s="8" t="s">
        <v>196</v>
      </c>
      <c r="X516" s="15">
        <v>45199</v>
      </c>
      <c r="Y516" s="15">
        <v>45222</v>
      </c>
      <c r="Z516" s="17" t="s">
        <v>201</v>
      </c>
      <c r="AA516" s="118">
        <v>42900</v>
      </c>
      <c r="AB516" s="7">
        <v>82</v>
      </c>
      <c r="AC516" s="7">
        <v>39</v>
      </c>
      <c r="AD516" s="15">
        <v>46417</v>
      </c>
      <c r="AE516" s="50">
        <v>500</v>
      </c>
      <c r="AF516" s="5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7"/>
      <c r="BA516" s="20"/>
      <c r="BB516" s="20"/>
      <c r="BD516" s="7"/>
      <c r="CS516" s="9">
        <f t="shared" si="41"/>
        <v>0</v>
      </c>
      <c r="CT516" s="20">
        <f t="shared" si="42"/>
        <v>0</v>
      </c>
      <c r="CU516" s="20">
        <f t="shared" si="40"/>
        <v>0</v>
      </c>
      <c r="CV516" s="24">
        <f t="shared" si="43"/>
        <v>500</v>
      </c>
    </row>
    <row r="517" spans="1:100" x14ac:dyDescent="0.2">
      <c r="A517" s="7" t="s">
        <v>192</v>
      </c>
      <c r="B517" s="1">
        <v>42</v>
      </c>
      <c r="C517" s="2" t="s">
        <v>36</v>
      </c>
      <c r="D517" s="59" t="s">
        <v>37</v>
      </c>
      <c r="E517" s="58"/>
      <c r="F517" s="58"/>
      <c r="G517" s="1" t="s">
        <v>20</v>
      </c>
      <c r="H517" s="1">
        <v>4</v>
      </c>
      <c r="I517" s="18">
        <v>145.38</v>
      </c>
      <c r="J517" s="18">
        <v>47900</v>
      </c>
      <c r="K517" s="2">
        <v>0</v>
      </c>
      <c r="L517" s="2" t="s">
        <v>3</v>
      </c>
      <c r="M517" s="7" t="s">
        <v>15</v>
      </c>
      <c r="N517" s="7" t="s">
        <v>14</v>
      </c>
      <c r="O517" s="7" t="s">
        <v>193</v>
      </c>
      <c r="S517" s="7" t="s">
        <v>96</v>
      </c>
      <c r="T517" s="8" t="s">
        <v>20</v>
      </c>
      <c r="U517" s="8">
        <v>4</v>
      </c>
      <c r="V517" s="8">
        <v>145.38</v>
      </c>
      <c r="W517" s="8" t="s">
        <v>196</v>
      </c>
      <c r="X517" s="15">
        <v>45199</v>
      </c>
      <c r="Y517" s="15">
        <v>45222</v>
      </c>
      <c r="Z517" s="17" t="s">
        <v>201</v>
      </c>
      <c r="AA517" s="118">
        <v>42900</v>
      </c>
      <c r="AB517" s="7">
        <v>82</v>
      </c>
      <c r="AC517" s="7">
        <v>40</v>
      </c>
      <c r="AD517" s="15">
        <v>46446</v>
      </c>
      <c r="AE517" s="50">
        <v>500</v>
      </c>
      <c r="AF517" s="5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7"/>
      <c r="BA517" s="20"/>
      <c r="BB517" s="20"/>
      <c r="BD517" s="7"/>
      <c r="CS517" s="9">
        <f t="shared" si="41"/>
        <v>0</v>
      </c>
      <c r="CT517" s="20">
        <f t="shared" si="42"/>
        <v>0</v>
      </c>
      <c r="CU517" s="20">
        <f t="shared" si="40"/>
        <v>0</v>
      </c>
      <c r="CV517" s="24">
        <f t="shared" si="43"/>
        <v>500</v>
      </c>
    </row>
    <row r="518" spans="1:100" x14ac:dyDescent="0.2">
      <c r="A518" s="7" t="s">
        <v>192</v>
      </c>
      <c r="B518" s="1">
        <v>42</v>
      </c>
      <c r="C518" s="2" t="s">
        <v>36</v>
      </c>
      <c r="D518" s="59" t="s">
        <v>37</v>
      </c>
      <c r="E518" s="58"/>
      <c r="F518" s="58"/>
      <c r="G518" s="1" t="s">
        <v>20</v>
      </c>
      <c r="H518" s="1">
        <v>4</v>
      </c>
      <c r="I518" s="18">
        <v>145.38</v>
      </c>
      <c r="J518" s="18">
        <v>47900</v>
      </c>
      <c r="K518" s="2">
        <v>0</v>
      </c>
      <c r="L518" s="2" t="s">
        <v>3</v>
      </c>
      <c r="M518" s="7" t="s">
        <v>15</v>
      </c>
      <c r="N518" s="7" t="s">
        <v>14</v>
      </c>
      <c r="O518" s="7" t="s">
        <v>193</v>
      </c>
      <c r="S518" s="7" t="s">
        <v>96</v>
      </c>
      <c r="T518" s="8" t="s">
        <v>20</v>
      </c>
      <c r="U518" s="8">
        <v>4</v>
      </c>
      <c r="V518" s="8">
        <v>145.38</v>
      </c>
      <c r="W518" s="8" t="s">
        <v>196</v>
      </c>
      <c r="X518" s="15">
        <v>45199</v>
      </c>
      <c r="Y518" s="15">
        <v>45222</v>
      </c>
      <c r="Z518" s="17" t="s">
        <v>201</v>
      </c>
      <c r="AA518" s="118">
        <v>42900</v>
      </c>
      <c r="AB518" s="7">
        <v>82</v>
      </c>
      <c r="AC518" s="7">
        <v>41</v>
      </c>
      <c r="AD518" s="15">
        <v>46476</v>
      </c>
      <c r="AE518" s="50">
        <v>500</v>
      </c>
      <c r="AF518" s="5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7"/>
      <c r="BA518" s="20"/>
      <c r="BB518" s="20"/>
      <c r="BD518" s="7"/>
      <c r="CS518" s="9">
        <f t="shared" si="41"/>
        <v>0</v>
      </c>
      <c r="CT518" s="20">
        <f t="shared" si="42"/>
        <v>0</v>
      </c>
      <c r="CU518" s="20">
        <f t="shared" si="40"/>
        <v>0</v>
      </c>
      <c r="CV518" s="24">
        <f t="shared" si="43"/>
        <v>500</v>
      </c>
    </row>
    <row r="519" spans="1:100" x14ac:dyDescent="0.2">
      <c r="A519" s="7" t="s">
        <v>192</v>
      </c>
      <c r="B519" s="1">
        <v>42</v>
      </c>
      <c r="C519" s="2" t="s">
        <v>36</v>
      </c>
      <c r="D519" s="59" t="s">
        <v>37</v>
      </c>
      <c r="E519" s="58"/>
      <c r="F519" s="58"/>
      <c r="G519" s="1" t="s">
        <v>20</v>
      </c>
      <c r="H519" s="1">
        <v>4</v>
      </c>
      <c r="I519" s="18">
        <v>145.38</v>
      </c>
      <c r="J519" s="18">
        <v>47900</v>
      </c>
      <c r="K519" s="2">
        <v>0</v>
      </c>
      <c r="L519" s="2" t="s">
        <v>3</v>
      </c>
      <c r="M519" s="7" t="s">
        <v>15</v>
      </c>
      <c r="N519" s="7" t="s">
        <v>14</v>
      </c>
      <c r="O519" s="7" t="s">
        <v>193</v>
      </c>
      <c r="S519" s="7" t="s">
        <v>96</v>
      </c>
      <c r="T519" s="8" t="s">
        <v>20</v>
      </c>
      <c r="U519" s="8">
        <v>4</v>
      </c>
      <c r="V519" s="8">
        <v>145.38</v>
      </c>
      <c r="W519" s="8" t="s">
        <v>196</v>
      </c>
      <c r="X519" s="15">
        <v>45199</v>
      </c>
      <c r="Y519" s="15">
        <v>45222</v>
      </c>
      <c r="Z519" s="17" t="s">
        <v>201</v>
      </c>
      <c r="AA519" s="118">
        <v>42900</v>
      </c>
      <c r="AB519" s="7">
        <v>82</v>
      </c>
      <c r="AC519" s="7">
        <v>42</v>
      </c>
      <c r="AD519" s="15">
        <v>46507</v>
      </c>
      <c r="AE519" s="50">
        <v>500</v>
      </c>
      <c r="AF519" s="5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7"/>
      <c r="BA519" s="20"/>
      <c r="BB519" s="20"/>
      <c r="BD519" s="7"/>
      <c r="CS519" s="9">
        <f t="shared" si="41"/>
        <v>0</v>
      </c>
      <c r="CT519" s="20">
        <f t="shared" si="42"/>
        <v>0</v>
      </c>
      <c r="CU519" s="20">
        <f t="shared" si="40"/>
        <v>0</v>
      </c>
      <c r="CV519" s="24">
        <f t="shared" si="43"/>
        <v>500</v>
      </c>
    </row>
    <row r="520" spans="1:100" x14ac:dyDescent="0.2">
      <c r="A520" s="7" t="s">
        <v>192</v>
      </c>
      <c r="B520" s="1">
        <v>42</v>
      </c>
      <c r="C520" s="2" t="s">
        <v>36</v>
      </c>
      <c r="D520" s="59" t="s">
        <v>37</v>
      </c>
      <c r="E520" s="58"/>
      <c r="F520" s="58"/>
      <c r="G520" s="1" t="s">
        <v>20</v>
      </c>
      <c r="H520" s="1">
        <v>4</v>
      </c>
      <c r="I520" s="18">
        <v>145.38</v>
      </c>
      <c r="J520" s="18">
        <v>47900</v>
      </c>
      <c r="K520" s="2">
        <v>0</v>
      </c>
      <c r="L520" s="2" t="s">
        <v>3</v>
      </c>
      <c r="M520" s="7" t="s">
        <v>15</v>
      </c>
      <c r="N520" s="7" t="s">
        <v>14</v>
      </c>
      <c r="O520" s="7" t="s">
        <v>193</v>
      </c>
      <c r="S520" s="7" t="s">
        <v>96</v>
      </c>
      <c r="T520" s="8" t="s">
        <v>20</v>
      </c>
      <c r="U520" s="8">
        <v>4</v>
      </c>
      <c r="V520" s="8">
        <v>145.38</v>
      </c>
      <c r="W520" s="8" t="s">
        <v>196</v>
      </c>
      <c r="X520" s="15">
        <v>45199</v>
      </c>
      <c r="Y520" s="15">
        <v>45222</v>
      </c>
      <c r="Z520" s="17" t="s">
        <v>201</v>
      </c>
      <c r="AA520" s="118">
        <v>42900</v>
      </c>
      <c r="AB520" s="7">
        <v>82</v>
      </c>
      <c r="AC520" s="7">
        <v>43</v>
      </c>
      <c r="AD520" s="15">
        <v>46537</v>
      </c>
      <c r="AE520" s="50">
        <v>500</v>
      </c>
      <c r="AF520" s="5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7"/>
      <c r="BA520" s="20"/>
      <c r="BB520" s="20"/>
      <c r="BD520" s="7"/>
      <c r="CS520" s="9">
        <f t="shared" si="41"/>
        <v>0</v>
      </c>
      <c r="CT520" s="20">
        <f t="shared" si="42"/>
        <v>0</v>
      </c>
      <c r="CU520" s="20">
        <f t="shared" si="40"/>
        <v>0</v>
      </c>
      <c r="CV520" s="24">
        <f t="shared" si="43"/>
        <v>500</v>
      </c>
    </row>
    <row r="521" spans="1:100" x14ac:dyDescent="0.2">
      <c r="A521" s="7" t="s">
        <v>192</v>
      </c>
      <c r="B521" s="1">
        <v>42</v>
      </c>
      <c r="C521" s="2" t="s">
        <v>36</v>
      </c>
      <c r="D521" s="59" t="s">
        <v>37</v>
      </c>
      <c r="E521" s="58"/>
      <c r="F521" s="58"/>
      <c r="G521" s="1" t="s">
        <v>20</v>
      </c>
      <c r="H521" s="1">
        <v>4</v>
      </c>
      <c r="I521" s="18">
        <v>145.38</v>
      </c>
      <c r="J521" s="18">
        <v>47900</v>
      </c>
      <c r="K521" s="2">
        <v>0</v>
      </c>
      <c r="L521" s="2" t="s">
        <v>3</v>
      </c>
      <c r="M521" s="7" t="s">
        <v>15</v>
      </c>
      <c r="N521" s="7" t="s">
        <v>14</v>
      </c>
      <c r="O521" s="7" t="s">
        <v>193</v>
      </c>
      <c r="S521" s="7" t="s">
        <v>96</v>
      </c>
      <c r="T521" s="8" t="s">
        <v>20</v>
      </c>
      <c r="U521" s="8">
        <v>4</v>
      </c>
      <c r="V521" s="8">
        <v>145.38</v>
      </c>
      <c r="W521" s="8" t="s">
        <v>196</v>
      </c>
      <c r="X521" s="15">
        <v>45199</v>
      </c>
      <c r="Y521" s="15">
        <v>45222</v>
      </c>
      <c r="Z521" s="17" t="s">
        <v>201</v>
      </c>
      <c r="AA521" s="118">
        <v>42900</v>
      </c>
      <c r="AB521" s="7">
        <v>82</v>
      </c>
      <c r="AC521" s="7">
        <v>44</v>
      </c>
      <c r="AD521" s="15">
        <v>46568</v>
      </c>
      <c r="AE521" s="50">
        <v>500</v>
      </c>
      <c r="AF521" s="5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7"/>
      <c r="BA521" s="20"/>
      <c r="BB521" s="20"/>
      <c r="BD521" s="7"/>
      <c r="CS521" s="9">
        <f t="shared" si="41"/>
        <v>0</v>
      </c>
      <c r="CT521" s="20">
        <f t="shared" si="42"/>
        <v>0</v>
      </c>
      <c r="CU521" s="20">
        <f t="shared" si="40"/>
        <v>0</v>
      </c>
      <c r="CV521" s="24">
        <f t="shared" si="43"/>
        <v>500</v>
      </c>
    </row>
    <row r="522" spans="1:100" x14ac:dyDescent="0.2">
      <c r="A522" s="7" t="s">
        <v>192</v>
      </c>
      <c r="B522" s="1">
        <v>42</v>
      </c>
      <c r="C522" s="2" t="s">
        <v>36</v>
      </c>
      <c r="D522" s="59" t="s">
        <v>37</v>
      </c>
      <c r="E522" s="58"/>
      <c r="F522" s="58"/>
      <c r="G522" s="1" t="s">
        <v>20</v>
      </c>
      <c r="H522" s="1">
        <v>4</v>
      </c>
      <c r="I522" s="18">
        <v>145.38</v>
      </c>
      <c r="J522" s="18">
        <v>47900</v>
      </c>
      <c r="K522" s="2">
        <v>0</v>
      </c>
      <c r="L522" s="2" t="s">
        <v>3</v>
      </c>
      <c r="M522" s="7" t="s">
        <v>15</v>
      </c>
      <c r="N522" s="7" t="s">
        <v>14</v>
      </c>
      <c r="O522" s="7" t="s">
        <v>193</v>
      </c>
      <c r="S522" s="7" t="s">
        <v>96</v>
      </c>
      <c r="T522" s="8" t="s">
        <v>20</v>
      </c>
      <c r="U522" s="8">
        <v>4</v>
      </c>
      <c r="V522" s="8">
        <v>145.38</v>
      </c>
      <c r="W522" s="8" t="s">
        <v>196</v>
      </c>
      <c r="X522" s="15">
        <v>45199</v>
      </c>
      <c r="Y522" s="15">
        <v>45222</v>
      </c>
      <c r="Z522" s="17" t="s">
        <v>201</v>
      </c>
      <c r="AA522" s="118">
        <v>42900</v>
      </c>
      <c r="AB522" s="7">
        <v>82</v>
      </c>
      <c r="AC522" s="7">
        <v>45</v>
      </c>
      <c r="AD522" s="15">
        <v>46598</v>
      </c>
      <c r="AE522" s="50">
        <v>500</v>
      </c>
      <c r="AF522" s="5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7"/>
      <c r="BA522" s="20"/>
      <c r="BB522" s="20"/>
      <c r="BD522" s="7"/>
      <c r="CS522" s="9">
        <f t="shared" si="41"/>
        <v>0</v>
      </c>
      <c r="CT522" s="20">
        <f t="shared" si="42"/>
        <v>0</v>
      </c>
      <c r="CU522" s="20">
        <f t="shared" si="40"/>
        <v>0</v>
      </c>
      <c r="CV522" s="24">
        <f t="shared" si="43"/>
        <v>500</v>
      </c>
    </row>
    <row r="523" spans="1:100" x14ac:dyDescent="0.2">
      <c r="A523" s="7" t="s">
        <v>192</v>
      </c>
      <c r="B523" s="1">
        <v>42</v>
      </c>
      <c r="C523" s="2" t="s">
        <v>36</v>
      </c>
      <c r="D523" s="59" t="s">
        <v>37</v>
      </c>
      <c r="E523" s="58"/>
      <c r="F523" s="58"/>
      <c r="G523" s="1" t="s">
        <v>20</v>
      </c>
      <c r="H523" s="1">
        <v>4</v>
      </c>
      <c r="I523" s="18">
        <v>145.38</v>
      </c>
      <c r="J523" s="18">
        <v>47900</v>
      </c>
      <c r="K523" s="2">
        <v>0</v>
      </c>
      <c r="L523" s="2" t="s">
        <v>3</v>
      </c>
      <c r="M523" s="7" t="s">
        <v>15</v>
      </c>
      <c r="N523" s="7" t="s">
        <v>14</v>
      </c>
      <c r="O523" s="7" t="s">
        <v>193</v>
      </c>
      <c r="S523" s="7" t="s">
        <v>96</v>
      </c>
      <c r="T523" s="8" t="s">
        <v>20</v>
      </c>
      <c r="U523" s="8">
        <v>4</v>
      </c>
      <c r="V523" s="8">
        <v>145.38</v>
      </c>
      <c r="W523" s="8" t="s">
        <v>196</v>
      </c>
      <c r="X523" s="15">
        <v>45199</v>
      </c>
      <c r="Y523" s="15">
        <v>45222</v>
      </c>
      <c r="Z523" s="17" t="s">
        <v>201</v>
      </c>
      <c r="AA523" s="118">
        <v>42900</v>
      </c>
      <c r="AB523" s="7">
        <v>82</v>
      </c>
      <c r="AC523" s="7">
        <v>46</v>
      </c>
      <c r="AD523" s="15">
        <v>46629</v>
      </c>
      <c r="AE523" s="50">
        <v>500</v>
      </c>
      <c r="AF523" s="5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7"/>
      <c r="BA523" s="20"/>
      <c r="BB523" s="20"/>
      <c r="BD523" s="7"/>
      <c r="CS523" s="9">
        <f t="shared" si="41"/>
        <v>0</v>
      </c>
      <c r="CT523" s="20">
        <f t="shared" si="42"/>
        <v>0</v>
      </c>
      <c r="CU523" s="20">
        <f t="shared" si="40"/>
        <v>0</v>
      </c>
      <c r="CV523" s="24">
        <f t="shared" si="43"/>
        <v>500</v>
      </c>
    </row>
    <row r="524" spans="1:100" x14ac:dyDescent="0.2">
      <c r="A524" s="7" t="s">
        <v>192</v>
      </c>
      <c r="B524" s="1">
        <v>42</v>
      </c>
      <c r="C524" s="2" t="s">
        <v>36</v>
      </c>
      <c r="D524" s="59" t="s">
        <v>37</v>
      </c>
      <c r="E524" s="58"/>
      <c r="F524" s="58"/>
      <c r="G524" s="1" t="s">
        <v>20</v>
      </c>
      <c r="H524" s="1">
        <v>4</v>
      </c>
      <c r="I524" s="18">
        <v>145.38</v>
      </c>
      <c r="J524" s="18">
        <v>47900</v>
      </c>
      <c r="K524" s="2">
        <v>0</v>
      </c>
      <c r="L524" s="2" t="s">
        <v>3</v>
      </c>
      <c r="M524" s="7" t="s">
        <v>15</v>
      </c>
      <c r="N524" s="7" t="s">
        <v>14</v>
      </c>
      <c r="O524" s="7" t="s">
        <v>193</v>
      </c>
      <c r="S524" s="7" t="s">
        <v>96</v>
      </c>
      <c r="T524" s="8" t="s">
        <v>20</v>
      </c>
      <c r="U524" s="8">
        <v>4</v>
      </c>
      <c r="V524" s="8">
        <v>145.38</v>
      </c>
      <c r="W524" s="8" t="s">
        <v>196</v>
      </c>
      <c r="X524" s="15">
        <v>45199</v>
      </c>
      <c r="Y524" s="15">
        <v>45222</v>
      </c>
      <c r="Z524" s="17" t="s">
        <v>201</v>
      </c>
      <c r="AA524" s="118">
        <v>42900</v>
      </c>
      <c r="AB524" s="7">
        <v>82</v>
      </c>
      <c r="AC524" s="7">
        <v>47</v>
      </c>
      <c r="AD524" s="15">
        <v>46660</v>
      </c>
      <c r="AE524" s="50">
        <v>500</v>
      </c>
      <c r="AF524" s="5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7"/>
      <c r="BA524" s="20"/>
      <c r="BB524" s="20"/>
      <c r="BD524" s="7"/>
      <c r="CS524" s="9">
        <f t="shared" si="41"/>
        <v>0</v>
      </c>
      <c r="CT524" s="20">
        <f t="shared" si="42"/>
        <v>0</v>
      </c>
      <c r="CU524" s="20">
        <f t="shared" si="40"/>
        <v>0</v>
      </c>
      <c r="CV524" s="24">
        <f t="shared" si="43"/>
        <v>500</v>
      </c>
    </row>
    <row r="525" spans="1:100" x14ac:dyDescent="0.2">
      <c r="A525" s="7" t="s">
        <v>192</v>
      </c>
      <c r="B525" s="1">
        <v>42</v>
      </c>
      <c r="C525" s="2" t="s">
        <v>36</v>
      </c>
      <c r="D525" s="59" t="s">
        <v>37</v>
      </c>
      <c r="E525" s="58"/>
      <c r="F525" s="58"/>
      <c r="G525" s="1" t="s">
        <v>20</v>
      </c>
      <c r="H525" s="1">
        <v>4</v>
      </c>
      <c r="I525" s="18">
        <v>145.38</v>
      </c>
      <c r="J525" s="18">
        <v>47900</v>
      </c>
      <c r="K525" s="2">
        <v>0</v>
      </c>
      <c r="L525" s="2" t="s">
        <v>3</v>
      </c>
      <c r="M525" s="7" t="s">
        <v>15</v>
      </c>
      <c r="N525" s="7" t="s">
        <v>14</v>
      </c>
      <c r="O525" s="7" t="s">
        <v>193</v>
      </c>
      <c r="S525" s="7" t="s">
        <v>96</v>
      </c>
      <c r="T525" s="8" t="s">
        <v>20</v>
      </c>
      <c r="U525" s="8">
        <v>4</v>
      </c>
      <c r="V525" s="8">
        <v>145.38</v>
      </c>
      <c r="W525" s="8" t="s">
        <v>196</v>
      </c>
      <c r="X525" s="15">
        <v>45199</v>
      </c>
      <c r="Y525" s="15">
        <v>45222</v>
      </c>
      <c r="Z525" s="17" t="s">
        <v>201</v>
      </c>
      <c r="AA525" s="118">
        <v>42900</v>
      </c>
      <c r="AB525" s="7">
        <v>82</v>
      </c>
      <c r="AC525" s="7">
        <v>48</v>
      </c>
      <c r="AD525" s="15">
        <v>46690</v>
      </c>
      <c r="AE525" s="50">
        <v>500</v>
      </c>
      <c r="AF525" s="5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7"/>
      <c r="BA525" s="20"/>
      <c r="BB525" s="20"/>
      <c r="BD525" s="7"/>
      <c r="CS525" s="9">
        <f t="shared" si="41"/>
        <v>0</v>
      </c>
      <c r="CT525" s="20">
        <f t="shared" si="42"/>
        <v>0</v>
      </c>
      <c r="CU525" s="20">
        <f t="shared" si="40"/>
        <v>0</v>
      </c>
      <c r="CV525" s="24">
        <f t="shared" si="43"/>
        <v>500</v>
      </c>
    </row>
    <row r="526" spans="1:100" x14ac:dyDescent="0.2">
      <c r="A526" s="7" t="s">
        <v>192</v>
      </c>
      <c r="B526" s="1">
        <v>42</v>
      </c>
      <c r="C526" s="2" t="s">
        <v>36</v>
      </c>
      <c r="D526" s="59" t="s">
        <v>37</v>
      </c>
      <c r="E526" s="58"/>
      <c r="F526" s="58"/>
      <c r="G526" s="1" t="s">
        <v>20</v>
      </c>
      <c r="H526" s="1">
        <v>4</v>
      </c>
      <c r="I526" s="18">
        <v>145.38</v>
      </c>
      <c r="J526" s="18">
        <v>47900</v>
      </c>
      <c r="K526" s="2">
        <v>0</v>
      </c>
      <c r="L526" s="2" t="s">
        <v>3</v>
      </c>
      <c r="M526" s="7" t="s">
        <v>15</v>
      </c>
      <c r="N526" s="7" t="s">
        <v>14</v>
      </c>
      <c r="O526" s="7" t="s">
        <v>193</v>
      </c>
      <c r="S526" s="7" t="s">
        <v>96</v>
      </c>
      <c r="T526" s="8" t="s">
        <v>20</v>
      </c>
      <c r="U526" s="8">
        <v>4</v>
      </c>
      <c r="V526" s="8">
        <v>145.38</v>
      </c>
      <c r="W526" s="8" t="s">
        <v>196</v>
      </c>
      <c r="X526" s="15">
        <v>45199</v>
      </c>
      <c r="Y526" s="15">
        <v>45222</v>
      </c>
      <c r="Z526" s="17" t="s">
        <v>201</v>
      </c>
      <c r="AA526" s="118">
        <v>42900</v>
      </c>
      <c r="AB526" s="7">
        <v>82</v>
      </c>
      <c r="AC526" s="7">
        <v>49</v>
      </c>
      <c r="AD526" s="15">
        <v>46721</v>
      </c>
      <c r="AE526" s="50">
        <v>500</v>
      </c>
      <c r="AF526" s="5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7"/>
      <c r="BA526" s="20"/>
      <c r="BB526" s="20"/>
      <c r="BD526" s="7"/>
      <c r="CS526" s="9">
        <f t="shared" si="41"/>
        <v>0</v>
      </c>
      <c r="CT526" s="20">
        <f t="shared" si="42"/>
        <v>0</v>
      </c>
      <c r="CU526" s="20">
        <f t="shared" si="40"/>
        <v>0</v>
      </c>
      <c r="CV526" s="24">
        <f t="shared" si="43"/>
        <v>500</v>
      </c>
    </row>
    <row r="527" spans="1:100" x14ac:dyDescent="0.2">
      <c r="A527" s="7" t="s">
        <v>192</v>
      </c>
      <c r="B527" s="1">
        <v>42</v>
      </c>
      <c r="C527" s="2" t="s">
        <v>36</v>
      </c>
      <c r="D527" s="59" t="s">
        <v>37</v>
      </c>
      <c r="E527" s="58"/>
      <c r="F527" s="58"/>
      <c r="G527" s="1" t="s">
        <v>20</v>
      </c>
      <c r="H527" s="1">
        <v>4</v>
      </c>
      <c r="I527" s="18">
        <v>145.38</v>
      </c>
      <c r="J527" s="18">
        <v>47900</v>
      </c>
      <c r="K527" s="2">
        <v>0</v>
      </c>
      <c r="L527" s="2" t="s">
        <v>3</v>
      </c>
      <c r="M527" s="7" t="s">
        <v>15</v>
      </c>
      <c r="N527" s="7" t="s">
        <v>14</v>
      </c>
      <c r="O527" s="7" t="s">
        <v>193</v>
      </c>
      <c r="S527" s="7" t="s">
        <v>96</v>
      </c>
      <c r="T527" s="8" t="s">
        <v>20</v>
      </c>
      <c r="U527" s="8">
        <v>4</v>
      </c>
      <c r="V527" s="8">
        <v>145.38</v>
      </c>
      <c r="W527" s="8" t="s">
        <v>196</v>
      </c>
      <c r="X527" s="15">
        <v>45199</v>
      </c>
      <c r="Y527" s="15">
        <v>45222</v>
      </c>
      <c r="Z527" s="17" t="s">
        <v>201</v>
      </c>
      <c r="AA527" s="118">
        <v>42900</v>
      </c>
      <c r="AB527" s="7">
        <v>82</v>
      </c>
      <c r="AC527" s="7">
        <v>50</v>
      </c>
      <c r="AD527" s="15">
        <v>46751</v>
      </c>
      <c r="AE527" s="50">
        <v>500</v>
      </c>
      <c r="AF527" s="5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7"/>
      <c r="BA527" s="20"/>
      <c r="BB527" s="20"/>
      <c r="BD527" s="7"/>
      <c r="CS527" s="9">
        <f t="shared" si="41"/>
        <v>0</v>
      </c>
      <c r="CT527" s="20">
        <f t="shared" si="42"/>
        <v>0</v>
      </c>
      <c r="CU527" s="20">
        <f t="shared" si="40"/>
        <v>0</v>
      </c>
      <c r="CV527" s="24">
        <f t="shared" si="43"/>
        <v>500</v>
      </c>
    </row>
    <row r="528" spans="1:100" x14ac:dyDescent="0.2">
      <c r="A528" s="7" t="s">
        <v>192</v>
      </c>
      <c r="B528" s="1">
        <v>42</v>
      </c>
      <c r="C528" s="2" t="s">
        <v>36</v>
      </c>
      <c r="D528" s="59" t="s">
        <v>37</v>
      </c>
      <c r="E528" s="58"/>
      <c r="F528" s="58"/>
      <c r="G528" s="1" t="s">
        <v>20</v>
      </c>
      <c r="H528" s="1">
        <v>4</v>
      </c>
      <c r="I528" s="18">
        <v>145.38</v>
      </c>
      <c r="J528" s="18">
        <v>47900</v>
      </c>
      <c r="K528" s="2">
        <v>0</v>
      </c>
      <c r="L528" s="2" t="s">
        <v>3</v>
      </c>
      <c r="M528" s="7" t="s">
        <v>15</v>
      </c>
      <c r="N528" s="7" t="s">
        <v>14</v>
      </c>
      <c r="O528" s="7" t="s">
        <v>193</v>
      </c>
      <c r="S528" s="7" t="s">
        <v>96</v>
      </c>
      <c r="T528" s="8" t="s">
        <v>20</v>
      </c>
      <c r="U528" s="8">
        <v>4</v>
      </c>
      <c r="V528" s="8">
        <v>145.38</v>
      </c>
      <c r="W528" s="8" t="s">
        <v>196</v>
      </c>
      <c r="X528" s="15">
        <v>45199</v>
      </c>
      <c r="Y528" s="15">
        <v>45222</v>
      </c>
      <c r="Z528" s="17" t="s">
        <v>201</v>
      </c>
      <c r="AA528" s="118">
        <v>42900</v>
      </c>
      <c r="AB528" s="7">
        <v>82</v>
      </c>
      <c r="AC528" s="7">
        <v>51</v>
      </c>
      <c r="AD528" s="15">
        <v>46782</v>
      </c>
      <c r="AE528" s="50">
        <v>500</v>
      </c>
      <c r="AF528" s="5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7"/>
      <c r="BA528" s="20"/>
      <c r="BB528" s="20"/>
      <c r="BD528" s="7"/>
      <c r="CS528" s="9">
        <f t="shared" si="41"/>
        <v>0</v>
      </c>
      <c r="CT528" s="20">
        <f t="shared" si="42"/>
        <v>0</v>
      </c>
      <c r="CU528" s="20">
        <f t="shared" si="40"/>
        <v>0</v>
      </c>
      <c r="CV528" s="24">
        <f t="shared" si="43"/>
        <v>500</v>
      </c>
    </row>
    <row r="529" spans="1:100" x14ac:dyDescent="0.2">
      <c r="A529" s="7" t="s">
        <v>192</v>
      </c>
      <c r="B529" s="1">
        <v>42</v>
      </c>
      <c r="C529" s="2" t="s">
        <v>36</v>
      </c>
      <c r="D529" s="59" t="s">
        <v>37</v>
      </c>
      <c r="E529" s="58"/>
      <c r="F529" s="58"/>
      <c r="G529" s="1" t="s">
        <v>20</v>
      </c>
      <c r="H529" s="1">
        <v>4</v>
      </c>
      <c r="I529" s="18">
        <v>145.38</v>
      </c>
      <c r="J529" s="18">
        <v>47900</v>
      </c>
      <c r="K529" s="2">
        <v>0</v>
      </c>
      <c r="L529" s="2" t="s">
        <v>3</v>
      </c>
      <c r="M529" s="7" t="s">
        <v>15</v>
      </c>
      <c r="N529" s="7" t="s">
        <v>14</v>
      </c>
      <c r="O529" s="7" t="s">
        <v>193</v>
      </c>
      <c r="S529" s="7" t="s">
        <v>96</v>
      </c>
      <c r="T529" s="8" t="s">
        <v>20</v>
      </c>
      <c r="U529" s="8">
        <v>4</v>
      </c>
      <c r="V529" s="8">
        <v>145.38</v>
      </c>
      <c r="W529" s="8" t="s">
        <v>196</v>
      </c>
      <c r="X529" s="15">
        <v>45199</v>
      </c>
      <c r="Y529" s="15">
        <v>45222</v>
      </c>
      <c r="Z529" s="17" t="s">
        <v>201</v>
      </c>
      <c r="AA529" s="118">
        <v>42900</v>
      </c>
      <c r="AB529" s="7">
        <v>82</v>
      </c>
      <c r="AC529" s="7">
        <v>52</v>
      </c>
      <c r="AD529" s="15">
        <v>46812</v>
      </c>
      <c r="AE529" s="50">
        <v>500</v>
      </c>
      <c r="AF529" s="5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7"/>
      <c r="BA529" s="20"/>
      <c r="BB529" s="20"/>
      <c r="BD529" s="7"/>
      <c r="CS529" s="9">
        <f t="shared" si="41"/>
        <v>0</v>
      </c>
      <c r="CT529" s="20">
        <f t="shared" si="42"/>
        <v>0</v>
      </c>
      <c r="CU529" s="20">
        <f t="shared" si="40"/>
        <v>0</v>
      </c>
      <c r="CV529" s="24">
        <f t="shared" si="43"/>
        <v>500</v>
      </c>
    </row>
    <row r="530" spans="1:100" x14ac:dyDescent="0.2">
      <c r="A530" s="7" t="s">
        <v>192</v>
      </c>
      <c r="B530" s="1">
        <v>42</v>
      </c>
      <c r="C530" s="2" t="s">
        <v>36</v>
      </c>
      <c r="D530" s="59" t="s">
        <v>37</v>
      </c>
      <c r="E530" s="58"/>
      <c r="F530" s="58"/>
      <c r="G530" s="1" t="s">
        <v>20</v>
      </c>
      <c r="H530" s="1">
        <v>4</v>
      </c>
      <c r="I530" s="18">
        <v>145.38</v>
      </c>
      <c r="J530" s="18">
        <v>47900</v>
      </c>
      <c r="K530" s="2">
        <v>0</v>
      </c>
      <c r="L530" s="2" t="s">
        <v>3</v>
      </c>
      <c r="M530" s="7" t="s">
        <v>15</v>
      </c>
      <c r="N530" s="7" t="s">
        <v>14</v>
      </c>
      <c r="O530" s="7" t="s">
        <v>193</v>
      </c>
      <c r="S530" s="7" t="s">
        <v>96</v>
      </c>
      <c r="T530" s="8" t="s">
        <v>20</v>
      </c>
      <c r="U530" s="8">
        <v>4</v>
      </c>
      <c r="V530" s="8">
        <v>145.38</v>
      </c>
      <c r="W530" s="8" t="s">
        <v>196</v>
      </c>
      <c r="X530" s="15">
        <v>45199</v>
      </c>
      <c r="Y530" s="15">
        <v>45222</v>
      </c>
      <c r="Z530" s="17" t="s">
        <v>201</v>
      </c>
      <c r="AA530" s="118">
        <v>42900</v>
      </c>
      <c r="AB530" s="7">
        <v>82</v>
      </c>
      <c r="AC530" s="7">
        <v>53</v>
      </c>
      <c r="AD530" s="15">
        <v>46842</v>
      </c>
      <c r="AE530" s="50">
        <v>500</v>
      </c>
      <c r="AF530" s="5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7"/>
      <c r="BA530" s="20"/>
      <c r="BB530" s="20"/>
      <c r="BD530" s="7"/>
      <c r="CS530" s="9">
        <f t="shared" si="41"/>
        <v>0</v>
      </c>
      <c r="CT530" s="20">
        <f t="shared" si="42"/>
        <v>0</v>
      </c>
      <c r="CU530" s="20">
        <f t="shared" si="40"/>
        <v>0</v>
      </c>
      <c r="CV530" s="24">
        <f t="shared" si="43"/>
        <v>500</v>
      </c>
    </row>
    <row r="531" spans="1:100" x14ac:dyDescent="0.2">
      <c r="A531" s="7" t="s">
        <v>192</v>
      </c>
      <c r="B531" s="1">
        <v>42</v>
      </c>
      <c r="C531" s="2" t="s">
        <v>36</v>
      </c>
      <c r="D531" s="59" t="s">
        <v>37</v>
      </c>
      <c r="E531" s="58"/>
      <c r="F531" s="58"/>
      <c r="G531" s="1" t="s">
        <v>20</v>
      </c>
      <c r="H531" s="1">
        <v>4</v>
      </c>
      <c r="I531" s="18">
        <v>145.38</v>
      </c>
      <c r="J531" s="18">
        <v>47900</v>
      </c>
      <c r="K531" s="2">
        <v>0</v>
      </c>
      <c r="L531" s="2" t="s">
        <v>3</v>
      </c>
      <c r="M531" s="7" t="s">
        <v>15</v>
      </c>
      <c r="N531" s="7" t="s">
        <v>14</v>
      </c>
      <c r="O531" s="7" t="s">
        <v>193</v>
      </c>
      <c r="S531" s="7" t="s">
        <v>96</v>
      </c>
      <c r="T531" s="8" t="s">
        <v>20</v>
      </c>
      <c r="U531" s="8">
        <v>4</v>
      </c>
      <c r="V531" s="8">
        <v>145.38</v>
      </c>
      <c r="W531" s="8" t="s">
        <v>196</v>
      </c>
      <c r="X531" s="15">
        <v>45199</v>
      </c>
      <c r="Y531" s="15">
        <v>45222</v>
      </c>
      <c r="Z531" s="17" t="s">
        <v>201</v>
      </c>
      <c r="AA531" s="118">
        <v>42900</v>
      </c>
      <c r="AB531" s="7">
        <v>82</v>
      </c>
      <c r="AC531" s="7">
        <v>54</v>
      </c>
      <c r="AD531" s="15">
        <v>46873</v>
      </c>
      <c r="AE531" s="50">
        <v>500</v>
      </c>
      <c r="AF531" s="5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7"/>
      <c r="BA531" s="20"/>
      <c r="BB531" s="20"/>
      <c r="BD531" s="7"/>
      <c r="CS531" s="9">
        <f t="shared" si="41"/>
        <v>0</v>
      </c>
      <c r="CT531" s="20">
        <f t="shared" si="42"/>
        <v>0</v>
      </c>
      <c r="CU531" s="20">
        <f t="shared" si="40"/>
        <v>0</v>
      </c>
      <c r="CV531" s="24">
        <f t="shared" si="43"/>
        <v>500</v>
      </c>
    </row>
    <row r="532" spans="1:100" x14ac:dyDescent="0.2">
      <c r="A532" s="7" t="s">
        <v>192</v>
      </c>
      <c r="B532" s="1">
        <v>42</v>
      </c>
      <c r="C532" s="2" t="s">
        <v>36</v>
      </c>
      <c r="D532" s="59" t="s">
        <v>37</v>
      </c>
      <c r="E532" s="58"/>
      <c r="F532" s="58"/>
      <c r="G532" s="1" t="s">
        <v>20</v>
      </c>
      <c r="H532" s="1">
        <v>4</v>
      </c>
      <c r="I532" s="18">
        <v>145.38</v>
      </c>
      <c r="J532" s="18">
        <v>47900</v>
      </c>
      <c r="K532" s="2">
        <v>0</v>
      </c>
      <c r="L532" s="2" t="s">
        <v>3</v>
      </c>
      <c r="M532" s="7" t="s">
        <v>15</v>
      </c>
      <c r="N532" s="7" t="s">
        <v>14</v>
      </c>
      <c r="O532" s="7" t="s">
        <v>193</v>
      </c>
      <c r="S532" s="7" t="s">
        <v>96</v>
      </c>
      <c r="T532" s="8" t="s">
        <v>20</v>
      </c>
      <c r="U532" s="8">
        <v>4</v>
      </c>
      <c r="V532" s="8">
        <v>145.38</v>
      </c>
      <c r="W532" s="8" t="s">
        <v>196</v>
      </c>
      <c r="X532" s="15">
        <v>45199</v>
      </c>
      <c r="Y532" s="15">
        <v>45222</v>
      </c>
      <c r="Z532" s="17" t="s">
        <v>201</v>
      </c>
      <c r="AA532" s="118">
        <v>42900</v>
      </c>
      <c r="AB532" s="7">
        <v>82</v>
      </c>
      <c r="AC532" s="7">
        <v>55</v>
      </c>
      <c r="AD532" s="15">
        <v>46903</v>
      </c>
      <c r="AE532" s="50">
        <v>500</v>
      </c>
      <c r="AF532" s="5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7"/>
      <c r="BA532" s="20"/>
      <c r="BB532" s="20"/>
      <c r="BD532" s="7"/>
      <c r="CS532" s="9">
        <f t="shared" si="41"/>
        <v>0</v>
      </c>
      <c r="CT532" s="20">
        <f t="shared" si="42"/>
        <v>0</v>
      </c>
      <c r="CU532" s="20">
        <f t="shared" si="40"/>
        <v>0</v>
      </c>
      <c r="CV532" s="24">
        <f t="shared" si="43"/>
        <v>500</v>
      </c>
    </row>
    <row r="533" spans="1:100" x14ac:dyDescent="0.2">
      <c r="A533" s="7" t="s">
        <v>192</v>
      </c>
      <c r="B533" s="1">
        <v>42</v>
      </c>
      <c r="C533" s="2" t="s">
        <v>36</v>
      </c>
      <c r="D533" s="59" t="s">
        <v>37</v>
      </c>
      <c r="E533" s="58"/>
      <c r="F533" s="58"/>
      <c r="G533" s="1" t="s">
        <v>20</v>
      </c>
      <c r="H533" s="1">
        <v>4</v>
      </c>
      <c r="I533" s="18">
        <v>145.38</v>
      </c>
      <c r="J533" s="18">
        <v>47900</v>
      </c>
      <c r="K533" s="2">
        <v>0</v>
      </c>
      <c r="L533" s="2" t="s">
        <v>3</v>
      </c>
      <c r="M533" s="7" t="s">
        <v>15</v>
      </c>
      <c r="N533" s="7" t="s">
        <v>14</v>
      </c>
      <c r="O533" s="7" t="s">
        <v>193</v>
      </c>
      <c r="S533" s="7" t="s">
        <v>96</v>
      </c>
      <c r="T533" s="8" t="s">
        <v>20</v>
      </c>
      <c r="U533" s="8">
        <v>4</v>
      </c>
      <c r="V533" s="8">
        <v>145.38</v>
      </c>
      <c r="W533" s="8" t="s">
        <v>196</v>
      </c>
      <c r="X533" s="15">
        <v>45199</v>
      </c>
      <c r="Y533" s="15">
        <v>45222</v>
      </c>
      <c r="Z533" s="17" t="s">
        <v>201</v>
      </c>
      <c r="AA533" s="118">
        <v>42900</v>
      </c>
      <c r="AB533" s="7">
        <v>82</v>
      </c>
      <c r="AC533" s="7">
        <v>56</v>
      </c>
      <c r="AD533" s="15">
        <v>46934</v>
      </c>
      <c r="AE533" s="50">
        <v>500</v>
      </c>
      <c r="AF533" s="5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7"/>
      <c r="BA533" s="20"/>
      <c r="BB533" s="20"/>
      <c r="BD533" s="7"/>
      <c r="CS533" s="9">
        <f t="shared" si="41"/>
        <v>0</v>
      </c>
      <c r="CT533" s="20">
        <f t="shared" si="42"/>
        <v>0</v>
      </c>
      <c r="CU533" s="20">
        <f t="shared" si="40"/>
        <v>0</v>
      </c>
      <c r="CV533" s="24">
        <f t="shared" si="43"/>
        <v>500</v>
      </c>
    </row>
    <row r="534" spans="1:100" x14ac:dyDescent="0.2">
      <c r="A534" s="7" t="s">
        <v>192</v>
      </c>
      <c r="B534" s="1">
        <v>42</v>
      </c>
      <c r="C534" s="2" t="s">
        <v>36</v>
      </c>
      <c r="D534" s="59" t="s">
        <v>37</v>
      </c>
      <c r="E534" s="58"/>
      <c r="F534" s="58"/>
      <c r="G534" s="1" t="s">
        <v>20</v>
      </c>
      <c r="H534" s="1">
        <v>4</v>
      </c>
      <c r="I534" s="18">
        <v>145.38</v>
      </c>
      <c r="J534" s="18">
        <v>47900</v>
      </c>
      <c r="K534" s="2">
        <v>0</v>
      </c>
      <c r="L534" s="2" t="s">
        <v>3</v>
      </c>
      <c r="M534" s="7" t="s">
        <v>15</v>
      </c>
      <c r="N534" s="7" t="s">
        <v>14</v>
      </c>
      <c r="O534" s="7" t="s">
        <v>193</v>
      </c>
      <c r="S534" s="7" t="s">
        <v>96</v>
      </c>
      <c r="T534" s="8" t="s">
        <v>20</v>
      </c>
      <c r="U534" s="8">
        <v>4</v>
      </c>
      <c r="V534" s="8">
        <v>145.38</v>
      </c>
      <c r="W534" s="8" t="s">
        <v>196</v>
      </c>
      <c r="X534" s="15">
        <v>45199</v>
      </c>
      <c r="Y534" s="15">
        <v>45222</v>
      </c>
      <c r="Z534" s="17" t="s">
        <v>201</v>
      </c>
      <c r="AA534" s="118">
        <v>42900</v>
      </c>
      <c r="AB534" s="7">
        <v>82</v>
      </c>
      <c r="AC534" s="7">
        <v>57</v>
      </c>
      <c r="AD534" s="15">
        <v>46964</v>
      </c>
      <c r="AE534" s="50">
        <v>500</v>
      </c>
      <c r="AF534" s="5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7"/>
      <c r="BA534" s="20"/>
      <c r="BB534" s="20"/>
      <c r="BD534" s="7"/>
      <c r="CS534" s="9">
        <f t="shared" si="41"/>
        <v>0</v>
      </c>
      <c r="CT534" s="20">
        <f t="shared" si="42"/>
        <v>0</v>
      </c>
      <c r="CU534" s="20">
        <f t="shared" si="40"/>
        <v>0</v>
      </c>
      <c r="CV534" s="24">
        <f t="shared" si="43"/>
        <v>500</v>
      </c>
    </row>
    <row r="535" spans="1:100" x14ac:dyDescent="0.2">
      <c r="A535" s="7" t="s">
        <v>192</v>
      </c>
      <c r="B535" s="1">
        <v>42</v>
      </c>
      <c r="C535" s="2" t="s">
        <v>36</v>
      </c>
      <c r="D535" s="59" t="s">
        <v>37</v>
      </c>
      <c r="E535" s="58"/>
      <c r="F535" s="58"/>
      <c r="G535" s="1" t="s">
        <v>20</v>
      </c>
      <c r="H535" s="1">
        <v>4</v>
      </c>
      <c r="I535" s="18">
        <v>145.38</v>
      </c>
      <c r="J535" s="18">
        <v>47900</v>
      </c>
      <c r="K535" s="2">
        <v>0</v>
      </c>
      <c r="L535" s="2" t="s">
        <v>3</v>
      </c>
      <c r="M535" s="7" t="s">
        <v>15</v>
      </c>
      <c r="N535" s="7" t="s">
        <v>14</v>
      </c>
      <c r="O535" s="7" t="s">
        <v>193</v>
      </c>
      <c r="S535" s="7" t="s">
        <v>96</v>
      </c>
      <c r="T535" s="8" t="s">
        <v>20</v>
      </c>
      <c r="U535" s="8">
        <v>4</v>
      </c>
      <c r="V535" s="8">
        <v>145.38</v>
      </c>
      <c r="W535" s="8" t="s">
        <v>196</v>
      </c>
      <c r="X535" s="15">
        <v>45199</v>
      </c>
      <c r="Y535" s="15">
        <v>45222</v>
      </c>
      <c r="Z535" s="17" t="s">
        <v>201</v>
      </c>
      <c r="AA535" s="118">
        <v>42900</v>
      </c>
      <c r="AB535" s="7">
        <v>82</v>
      </c>
      <c r="AC535" s="7">
        <v>58</v>
      </c>
      <c r="AD535" s="15">
        <v>46995</v>
      </c>
      <c r="AE535" s="50">
        <v>500</v>
      </c>
      <c r="AF535" s="5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7"/>
      <c r="BA535" s="20"/>
      <c r="BB535" s="20"/>
      <c r="BD535" s="7"/>
      <c r="CS535" s="9">
        <f t="shared" si="41"/>
        <v>0</v>
      </c>
      <c r="CT535" s="20">
        <f t="shared" si="42"/>
        <v>0</v>
      </c>
      <c r="CU535" s="20">
        <f t="shared" si="40"/>
        <v>0</v>
      </c>
      <c r="CV535" s="24">
        <f t="shared" si="43"/>
        <v>500</v>
      </c>
    </row>
    <row r="536" spans="1:100" x14ac:dyDescent="0.2">
      <c r="A536" s="7" t="s">
        <v>192</v>
      </c>
      <c r="B536" s="1">
        <v>42</v>
      </c>
      <c r="C536" s="2" t="s">
        <v>36</v>
      </c>
      <c r="D536" s="59" t="s">
        <v>37</v>
      </c>
      <c r="E536" s="58"/>
      <c r="F536" s="58"/>
      <c r="G536" s="1" t="s">
        <v>20</v>
      </c>
      <c r="H536" s="1">
        <v>4</v>
      </c>
      <c r="I536" s="18">
        <v>145.38</v>
      </c>
      <c r="J536" s="18">
        <v>47900</v>
      </c>
      <c r="K536" s="2">
        <v>0</v>
      </c>
      <c r="L536" s="2" t="s">
        <v>3</v>
      </c>
      <c r="M536" s="7" t="s">
        <v>15</v>
      </c>
      <c r="N536" s="7" t="s">
        <v>14</v>
      </c>
      <c r="O536" s="7" t="s">
        <v>193</v>
      </c>
      <c r="S536" s="7" t="s">
        <v>96</v>
      </c>
      <c r="T536" s="8" t="s">
        <v>20</v>
      </c>
      <c r="U536" s="8">
        <v>4</v>
      </c>
      <c r="V536" s="8">
        <v>145.38</v>
      </c>
      <c r="W536" s="8" t="s">
        <v>196</v>
      </c>
      <c r="X536" s="15">
        <v>45199</v>
      </c>
      <c r="Y536" s="15">
        <v>45222</v>
      </c>
      <c r="Z536" s="17" t="s">
        <v>201</v>
      </c>
      <c r="AA536" s="118">
        <v>42900</v>
      </c>
      <c r="AB536" s="7">
        <v>82</v>
      </c>
      <c r="AC536" s="7">
        <v>59</v>
      </c>
      <c r="AD536" s="15">
        <v>47026</v>
      </c>
      <c r="AE536" s="50">
        <v>500</v>
      </c>
      <c r="AF536" s="5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7"/>
      <c r="BA536" s="20"/>
      <c r="BB536" s="20"/>
      <c r="BD536" s="7"/>
      <c r="CS536" s="9">
        <f t="shared" si="41"/>
        <v>0</v>
      </c>
      <c r="CT536" s="20">
        <f t="shared" si="42"/>
        <v>0</v>
      </c>
      <c r="CU536" s="20">
        <f t="shared" si="40"/>
        <v>0</v>
      </c>
      <c r="CV536" s="24">
        <f t="shared" si="43"/>
        <v>500</v>
      </c>
    </row>
    <row r="537" spans="1:100" x14ac:dyDescent="0.2">
      <c r="A537" s="7" t="s">
        <v>192</v>
      </c>
      <c r="B537" s="1">
        <v>42</v>
      </c>
      <c r="C537" s="2" t="s">
        <v>36</v>
      </c>
      <c r="D537" s="59" t="s">
        <v>37</v>
      </c>
      <c r="E537" s="58"/>
      <c r="F537" s="58"/>
      <c r="G537" s="1" t="s">
        <v>20</v>
      </c>
      <c r="H537" s="1">
        <v>4</v>
      </c>
      <c r="I537" s="18">
        <v>145.38</v>
      </c>
      <c r="J537" s="18">
        <v>47900</v>
      </c>
      <c r="K537" s="2">
        <v>0</v>
      </c>
      <c r="L537" s="2" t="s">
        <v>3</v>
      </c>
      <c r="M537" s="7" t="s">
        <v>15</v>
      </c>
      <c r="N537" s="7" t="s">
        <v>14</v>
      </c>
      <c r="O537" s="7" t="s">
        <v>193</v>
      </c>
      <c r="S537" s="7" t="s">
        <v>96</v>
      </c>
      <c r="T537" s="8" t="s">
        <v>20</v>
      </c>
      <c r="U537" s="8">
        <v>4</v>
      </c>
      <c r="V537" s="8">
        <v>145.38</v>
      </c>
      <c r="W537" s="8" t="s">
        <v>196</v>
      </c>
      <c r="X537" s="15">
        <v>45199</v>
      </c>
      <c r="Y537" s="15">
        <v>45222</v>
      </c>
      <c r="Z537" s="17" t="s">
        <v>201</v>
      </c>
      <c r="AA537" s="118">
        <v>42900</v>
      </c>
      <c r="AB537" s="7">
        <v>82</v>
      </c>
      <c r="AC537" s="7">
        <v>60</v>
      </c>
      <c r="AD537" s="15">
        <v>47056</v>
      </c>
      <c r="AE537" s="50">
        <v>500</v>
      </c>
      <c r="AF537" s="5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7"/>
      <c r="BA537" s="20"/>
      <c r="BB537" s="20"/>
      <c r="BD537" s="7"/>
      <c r="CS537" s="9">
        <f t="shared" si="41"/>
        <v>0</v>
      </c>
      <c r="CT537" s="20">
        <f t="shared" si="42"/>
        <v>0</v>
      </c>
      <c r="CU537" s="20">
        <f t="shared" si="40"/>
        <v>0</v>
      </c>
      <c r="CV537" s="24">
        <f t="shared" si="43"/>
        <v>500</v>
      </c>
    </row>
    <row r="538" spans="1:100" x14ac:dyDescent="0.2">
      <c r="A538" s="7" t="s">
        <v>192</v>
      </c>
      <c r="B538" s="1">
        <v>42</v>
      </c>
      <c r="C538" s="2" t="s">
        <v>36</v>
      </c>
      <c r="D538" s="59" t="s">
        <v>37</v>
      </c>
      <c r="E538" s="58"/>
      <c r="F538" s="58"/>
      <c r="G538" s="1" t="s">
        <v>20</v>
      </c>
      <c r="H538" s="1">
        <v>4</v>
      </c>
      <c r="I538" s="18">
        <v>145.38</v>
      </c>
      <c r="J538" s="18">
        <v>47900</v>
      </c>
      <c r="K538" s="2">
        <v>0</v>
      </c>
      <c r="L538" s="2" t="s">
        <v>3</v>
      </c>
      <c r="M538" s="7" t="s">
        <v>15</v>
      </c>
      <c r="N538" s="7" t="s">
        <v>14</v>
      </c>
      <c r="O538" s="7" t="s">
        <v>193</v>
      </c>
      <c r="S538" s="7" t="s">
        <v>96</v>
      </c>
      <c r="T538" s="8" t="s">
        <v>20</v>
      </c>
      <c r="U538" s="8">
        <v>4</v>
      </c>
      <c r="V538" s="8">
        <v>145.38</v>
      </c>
      <c r="W538" s="8" t="s">
        <v>196</v>
      </c>
      <c r="X538" s="15">
        <v>45199</v>
      </c>
      <c r="Y538" s="15">
        <v>45222</v>
      </c>
      <c r="Z538" s="17" t="s">
        <v>201</v>
      </c>
      <c r="AA538" s="118">
        <v>42900</v>
      </c>
      <c r="AB538" s="7">
        <v>82</v>
      </c>
      <c r="AC538" s="7">
        <v>61</v>
      </c>
      <c r="AD538" s="15">
        <v>47087</v>
      </c>
      <c r="AE538" s="50">
        <v>500</v>
      </c>
      <c r="AF538" s="5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7"/>
      <c r="BA538" s="20"/>
      <c r="BB538" s="20"/>
      <c r="BD538" s="7"/>
      <c r="CS538" s="9">
        <f t="shared" si="41"/>
        <v>0</v>
      </c>
      <c r="CT538" s="20">
        <f t="shared" si="42"/>
        <v>0</v>
      </c>
      <c r="CU538" s="20">
        <f t="shared" si="40"/>
        <v>0</v>
      </c>
      <c r="CV538" s="24">
        <f t="shared" si="43"/>
        <v>500</v>
      </c>
    </row>
    <row r="539" spans="1:100" x14ac:dyDescent="0.2">
      <c r="A539" s="7" t="s">
        <v>192</v>
      </c>
      <c r="B539" s="1">
        <v>42</v>
      </c>
      <c r="C539" s="2" t="s">
        <v>36</v>
      </c>
      <c r="D539" s="59" t="s">
        <v>37</v>
      </c>
      <c r="E539" s="58"/>
      <c r="F539" s="58"/>
      <c r="G539" s="1" t="s">
        <v>20</v>
      </c>
      <c r="H539" s="1">
        <v>4</v>
      </c>
      <c r="I539" s="18">
        <v>145.38</v>
      </c>
      <c r="J539" s="18">
        <v>47900</v>
      </c>
      <c r="K539" s="2">
        <v>0</v>
      </c>
      <c r="L539" s="2" t="s">
        <v>3</v>
      </c>
      <c r="M539" s="7" t="s">
        <v>15</v>
      </c>
      <c r="N539" s="7" t="s">
        <v>14</v>
      </c>
      <c r="O539" s="7" t="s">
        <v>193</v>
      </c>
      <c r="S539" s="7" t="s">
        <v>96</v>
      </c>
      <c r="T539" s="8" t="s">
        <v>20</v>
      </c>
      <c r="U539" s="8">
        <v>4</v>
      </c>
      <c r="V539" s="8">
        <v>145.38</v>
      </c>
      <c r="W539" s="8" t="s">
        <v>196</v>
      </c>
      <c r="X539" s="15">
        <v>45199</v>
      </c>
      <c r="Y539" s="15">
        <v>45222</v>
      </c>
      <c r="Z539" s="17" t="s">
        <v>201</v>
      </c>
      <c r="AA539" s="118">
        <v>42900</v>
      </c>
      <c r="AB539" s="7">
        <v>82</v>
      </c>
      <c r="AC539" s="7">
        <v>62</v>
      </c>
      <c r="AD539" s="15">
        <v>47117</v>
      </c>
      <c r="AE539" s="50">
        <v>500</v>
      </c>
      <c r="AF539" s="5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7"/>
      <c r="BA539" s="20"/>
      <c r="BB539" s="20"/>
      <c r="BD539" s="7"/>
      <c r="CS539" s="9">
        <f t="shared" si="41"/>
        <v>0</v>
      </c>
      <c r="CT539" s="20">
        <f t="shared" si="42"/>
        <v>0</v>
      </c>
      <c r="CU539" s="20">
        <f t="shared" si="40"/>
        <v>0</v>
      </c>
      <c r="CV539" s="24">
        <f t="shared" si="43"/>
        <v>500</v>
      </c>
    </row>
    <row r="540" spans="1:100" x14ac:dyDescent="0.2">
      <c r="A540" s="7" t="s">
        <v>192</v>
      </c>
      <c r="B540" s="1">
        <v>42</v>
      </c>
      <c r="C540" s="2" t="s">
        <v>36</v>
      </c>
      <c r="D540" s="59" t="s">
        <v>37</v>
      </c>
      <c r="E540" s="58"/>
      <c r="F540" s="58"/>
      <c r="G540" s="1" t="s">
        <v>20</v>
      </c>
      <c r="H540" s="1">
        <v>4</v>
      </c>
      <c r="I540" s="18">
        <v>145.38</v>
      </c>
      <c r="J540" s="18">
        <v>47900</v>
      </c>
      <c r="K540" s="2">
        <v>0</v>
      </c>
      <c r="L540" s="2" t="s">
        <v>3</v>
      </c>
      <c r="M540" s="7" t="s">
        <v>15</v>
      </c>
      <c r="N540" s="7" t="s">
        <v>14</v>
      </c>
      <c r="O540" s="7" t="s">
        <v>193</v>
      </c>
      <c r="S540" s="7" t="s">
        <v>96</v>
      </c>
      <c r="T540" s="8" t="s">
        <v>20</v>
      </c>
      <c r="U540" s="8">
        <v>4</v>
      </c>
      <c r="V540" s="8">
        <v>145.38</v>
      </c>
      <c r="W540" s="8" t="s">
        <v>196</v>
      </c>
      <c r="X540" s="15">
        <v>45199</v>
      </c>
      <c r="Y540" s="15">
        <v>45222</v>
      </c>
      <c r="Z540" s="17" t="s">
        <v>201</v>
      </c>
      <c r="AA540" s="118">
        <v>42900</v>
      </c>
      <c r="AB540" s="7">
        <v>82</v>
      </c>
      <c r="AC540" s="7">
        <v>63</v>
      </c>
      <c r="AD540" s="15">
        <v>47148</v>
      </c>
      <c r="AE540" s="50">
        <v>500</v>
      </c>
      <c r="AF540" s="5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7"/>
      <c r="BA540" s="20"/>
      <c r="BB540" s="20"/>
      <c r="BD540" s="7"/>
      <c r="CS540" s="9">
        <f t="shared" si="41"/>
        <v>0</v>
      </c>
      <c r="CT540" s="20">
        <f t="shared" si="42"/>
        <v>0</v>
      </c>
      <c r="CU540" s="20">
        <f t="shared" ref="CU540:CU559" si="44">+CS540-CT540</f>
        <v>0</v>
      </c>
      <c r="CV540" s="24">
        <f t="shared" si="43"/>
        <v>500</v>
      </c>
    </row>
    <row r="541" spans="1:100" x14ac:dyDescent="0.2">
      <c r="A541" s="7" t="s">
        <v>192</v>
      </c>
      <c r="B541" s="1">
        <v>42</v>
      </c>
      <c r="C541" s="2" t="s">
        <v>36</v>
      </c>
      <c r="D541" s="59" t="s">
        <v>37</v>
      </c>
      <c r="E541" s="58"/>
      <c r="F541" s="58"/>
      <c r="G541" s="1" t="s">
        <v>20</v>
      </c>
      <c r="H541" s="1">
        <v>4</v>
      </c>
      <c r="I541" s="18">
        <v>145.38</v>
      </c>
      <c r="J541" s="18">
        <v>47900</v>
      </c>
      <c r="K541" s="2">
        <v>0</v>
      </c>
      <c r="L541" s="2" t="s">
        <v>3</v>
      </c>
      <c r="M541" s="7" t="s">
        <v>15</v>
      </c>
      <c r="N541" s="7" t="s">
        <v>14</v>
      </c>
      <c r="O541" s="7" t="s">
        <v>193</v>
      </c>
      <c r="S541" s="7" t="s">
        <v>96</v>
      </c>
      <c r="T541" s="8" t="s">
        <v>20</v>
      </c>
      <c r="U541" s="8">
        <v>4</v>
      </c>
      <c r="V541" s="8">
        <v>145.38</v>
      </c>
      <c r="W541" s="8" t="s">
        <v>196</v>
      </c>
      <c r="X541" s="15">
        <v>45199</v>
      </c>
      <c r="Y541" s="15">
        <v>45222</v>
      </c>
      <c r="Z541" s="17" t="s">
        <v>201</v>
      </c>
      <c r="AA541" s="118">
        <v>42900</v>
      </c>
      <c r="AB541" s="7">
        <v>82</v>
      </c>
      <c r="AC541" s="7">
        <v>64</v>
      </c>
      <c r="AD541" s="15">
        <v>47177</v>
      </c>
      <c r="AE541" s="50">
        <v>500</v>
      </c>
      <c r="AF541" s="5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7"/>
      <c r="BA541" s="20"/>
      <c r="BB541" s="20"/>
      <c r="BD541" s="7"/>
      <c r="CS541" s="9">
        <f t="shared" si="41"/>
        <v>0</v>
      </c>
      <c r="CT541" s="20">
        <f t="shared" si="42"/>
        <v>0</v>
      </c>
      <c r="CU541" s="20">
        <f t="shared" si="44"/>
        <v>0</v>
      </c>
      <c r="CV541" s="24">
        <f t="shared" si="43"/>
        <v>500</v>
      </c>
    </row>
    <row r="542" spans="1:100" x14ac:dyDescent="0.2">
      <c r="A542" s="7" t="s">
        <v>192</v>
      </c>
      <c r="B542" s="1">
        <v>42</v>
      </c>
      <c r="C542" s="2" t="s">
        <v>36</v>
      </c>
      <c r="D542" s="59" t="s">
        <v>37</v>
      </c>
      <c r="E542" s="58"/>
      <c r="F542" s="58"/>
      <c r="G542" s="1" t="s">
        <v>20</v>
      </c>
      <c r="H542" s="1">
        <v>4</v>
      </c>
      <c r="I542" s="18">
        <v>145.38</v>
      </c>
      <c r="J542" s="18">
        <v>47900</v>
      </c>
      <c r="K542" s="2">
        <v>0</v>
      </c>
      <c r="L542" s="2" t="s">
        <v>3</v>
      </c>
      <c r="M542" s="7" t="s">
        <v>15</v>
      </c>
      <c r="N542" s="7" t="s">
        <v>14</v>
      </c>
      <c r="O542" s="7" t="s">
        <v>193</v>
      </c>
      <c r="S542" s="7" t="s">
        <v>96</v>
      </c>
      <c r="T542" s="8" t="s">
        <v>20</v>
      </c>
      <c r="U542" s="8">
        <v>4</v>
      </c>
      <c r="V542" s="8">
        <v>145.38</v>
      </c>
      <c r="W542" s="8" t="s">
        <v>196</v>
      </c>
      <c r="X542" s="15">
        <v>45199</v>
      </c>
      <c r="Y542" s="15">
        <v>45222</v>
      </c>
      <c r="Z542" s="17" t="s">
        <v>201</v>
      </c>
      <c r="AA542" s="118">
        <v>42900</v>
      </c>
      <c r="AB542" s="7">
        <v>82</v>
      </c>
      <c r="AC542" s="7">
        <v>65</v>
      </c>
      <c r="AD542" s="15">
        <v>47207</v>
      </c>
      <c r="AE542" s="50">
        <v>500</v>
      </c>
      <c r="AF542" s="5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7"/>
      <c r="BA542" s="20"/>
      <c r="BB542" s="20"/>
      <c r="BD542" s="7"/>
      <c r="CS542" s="9">
        <f t="shared" si="41"/>
        <v>0</v>
      </c>
      <c r="CT542" s="20">
        <f t="shared" si="42"/>
        <v>0</v>
      </c>
      <c r="CU542" s="20">
        <f t="shared" si="44"/>
        <v>0</v>
      </c>
      <c r="CV542" s="24">
        <f t="shared" si="43"/>
        <v>500</v>
      </c>
    </row>
    <row r="543" spans="1:100" x14ac:dyDescent="0.2">
      <c r="A543" s="7" t="s">
        <v>192</v>
      </c>
      <c r="B543" s="1">
        <v>42</v>
      </c>
      <c r="C543" s="2" t="s">
        <v>36</v>
      </c>
      <c r="D543" s="59" t="s">
        <v>37</v>
      </c>
      <c r="E543" s="58"/>
      <c r="F543" s="58"/>
      <c r="G543" s="1" t="s">
        <v>20</v>
      </c>
      <c r="H543" s="1">
        <v>4</v>
      </c>
      <c r="I543" s="18">
        <v>145.38</v>
      </c>
      <c r="J543" s="18">
        <v>47900</v>
      </c>
      <c r="K543" s="2">
        <v>0</v>
      </c>
      <c r="L543" s="2" t="s">
        <v>3</v>
      </c>
      <c r="M543" s="7" t="s">
        <v>15</v>
      </c>
      <c r="N543" s="7" t="s">
        <v>14</v>
      </c>
      <c r="O543" s="7" t="s">
        <v>193</v>
      </c>
      <c r="S543" s="7" t="s">
        <v>96</v>
      </c>
      <c r="T543" s="8" t="s">
        <v>20</v>
      </c>
      <c r="U543" s="8">
        <v>4</v>
      </c>
      <c r="V543" s="8">
        <v>145.38</v>
      </c>
      <c r="W543" s="8" t="s">
        <v>196</v>
      </c>
      <c r="X543" s="15">
        <v>45199</v>
      </c>
      <c r="Y543" s="15">
        <v>45222</v>
      </c>
      <c r="Z543" s="17" t="s">
        <v>201</v>
      </c>
      <c r="AA543" s="118">
        <v>42900</v>
      </c>
      <c r="AB543" s="7">
        <v>82</v>
      </c>
      <c r="AC543" s="7">
        <v>66</v>
      </c>
      <c r="AD543" s="15">
        <v>47238</v>
      </c>
      <c r="AE543" s="50">
        <v>500</v>
      </c>
      <c r="AF543" s="5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7"/>
      <c r="BA543" s="20"/>
      <c r="BB543" s="20"/>
      <c r="BD543" s="7"/>
      <c r="CS543" s="9">
        <f t="shared" si="41"/>
        <v>0</v>
      </c>
      <c r="CT543" s="20">
        <f t="shared" si="42"/>
        <v>0</v>
      </c>
      <c r="CU543" s="20">
        <f t="shared" si="44"/>
        <v>0</v>
      </c>
      <c r="CV543" s="24">
        <f t="shared" si="43"/>
        <v>500</v>
      </c>
    </row>
    <row r="544" spans="1:100" x14ac:dyDescent="0.2">
      <c r="A544" s="7" t="s">
        <v>192</v>
      </c>
      <c r="B544" s="1">
        <v>42</v>
      </c>
      <c r="C544" s="2" t="s">
        <v>36</v>
      </c>
      <c r="D544" s="59" t="s">
        <v>37</v>
      </c>
      <c r="E544" s="58"/>
      <c r="F544" s="58"/>
      <c r="G544" s="1" t="s">
        <v>20</v>
      </c>
      <c r="H544" s="1">
        <v>4</v>
      </c>
      <c r="I544" s="18">
        <v>145.38</v>
      </c>
      <c r="J544" s="18">
        <v>47900</v>
      </c>
      <c r="K544" s="2">
        <v>0</v>
      </c>
      <c r="L544" s="2" t="s">
        <v>3</v>
      </c>
      <c r="M544" s="7" t="s">
        <v>15</v>
      </c>
      <c r="N544" s="7" t="s">
        <v>14</v>
      </c>
      <c r="O544" s="7" t="s">
        <v>193</v>
      </c>
      <c r="S544" s="7" t="s">
        <v>96</v>
      </c>
      <c r="T544" s="8" t="s">
        <v>20</v>
      </c>
      <c r="U544" s="8">
        <v>4</v>
      </c>
      <c r="V544" s="8">
        <v>145.38</v>
      </c>
      <c r="W544" s="8" t="s">
        <v>196</v>
      </c>
      <c r="X544" s="15">
        <v>45199</v>
      </c>
      <c r="Y544" s="15">
        <v>45222</v>
      </c>
      <c r="Z544" s="17" t="s">
        <v>201</v>
      </c>
      <c r="AA544" s="118">
        <v>42900</v>
      </c>
      <c r="AB544" s="7">
        <v>82</v>
      </c>
      <c r="AC544" s="7">
        <v>67</v>
      </c>
      <c r="AD544" s="15">
        <v>47268</v>
      </c>
      <c r="AE544" s="50">
        <v>500</v>
      </c>
      <c r="AF544" s="5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7"/>
      <c r="BA544" s="20"/>
      <c r="BB544" s="20"/>
      <c r="BD544" s="7"/>
      <c r="CS544" s="9">
        <f t="shared" si="41"/>
        <v>0</v>
      </c>
      <c r="CT544" s="20">
        <f t="shared" si="42"/>
        <v>0</v>
      </c>
      <c r="CU544" s="20">
        <f t="shared" si="44"/>
        <v>0</v>
      </c>
      <c r="CV544" s="24">
        <f t="shared" si="43"/>
        <v>500</v>
      </c>
    </row>
    <row r="545" spans="1:100" x14ac:dyDescent="0.2">
      <c r="A545" s="7" t="s">
        <v>192</v>
      </c>
      <c r="B545" s="1">
        <v>42</v>
      </c>
      <c r="C545" s="2" t="s">
        <v>36</v>
      </c>
      <c r="D545" s="59" t="s">
        <v>37</v>
      </c>
      <c r="E545" s="58"/>
      <c r="F545" s="58"/>
      <c r="G545" s="1" t="s">
        <v>20</v>
      </c>
      <c r="H545" s="1">
        <v>4</v>
      </c>
      <c r="I545" s="18">
        <v>145.38</v>
      </c>
      <c r="J545" s="18">
        <v>47900</v>
      </c>
      <c r="K545" s="2">
        <v>0</v>
      </c>
      <c r="L545" s="2" t="s">
        <v>3</v>
      </c>
      <c r="M545" s="7" t="s">
        <v>15</v>
      </c>
      <c r="N545" s="7" t="s">
        <v>14</v>
      </c>
      <c r="O545" s="7" t="s">
        <v>193</v>
      </c>
      <c r="S545" s="7" t="s">
        <v>96</v>
      </c>
      <c r="T545" s="8" t="s">
        <v>20</v>
      </c>
      <c r="U545" s="8">
        <v>4</v>
      </c>
      <c r="V545" s="8">
        <v>145.38</v>
      </c>
      <c r="W545" s="8" t="s">
        <v>196</v>
      </c>
      <c r="X545" s="15">
        <v>45199</v>
      </c>
      <c r="Y545" s="15">
        <v>45222</v>
      </c>
      <c r="Z545" s="17" t="s">
        <v>201</v>
      </c>
      <c r="AA545" s="118">
        <v>42900</v>
      </c>
      <c r="AB545" s="7">
        <v>82</v>
      </c>
      <c r="AC545" s="7">
        <v>68</v>
      </c>
      <c r="AD545" s="15">
        <v>47299</v>
      </c>
      <c r="AE545" s="50">
        <v>500</v>
      </c>
      <c r="AF545" s="5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7"/>
      <c r="BA545" s="20"/>
      <c r="BB545" s="20"/>
      <c r="BD545" s="7"/>
      <c r="CS545" s="9">
        <f t="shared" si="41"/>
        <v>0</v>
      </c>
      <c r="CT545" s="20">
        <f t="shared" si="42"/>
        <v>0</v>
      </c>
      <c r="CU545" s="20">
        <f t="shared" si="44"/>
        <v>0</v>
      </c>
      <c r="CV545" s="24">
        <f t="shared" si="43"/>
        <v>500</v>
      </c>
    </row>
    <row r="546" spans="1:100" x14ac:dyDescent="0.2">
      <c r="A546" s="7" t="s">
        <v>192</v>
      </c>
      <c r="B546" s="1">
        <v>42</v>
      </c>
      <c r="C546" s="2" t="s">
        <v>36</v>
      </c>
      <c r="D546" s="59" t="s">
        <v>37</v>
      </c>
      <c r="E546" s="58"/>
      <c r="F546" s="58"/>
      <c r="G546" s="1" t="s">
        <v>20</v>
      </c>
      <c r="H546" s="1">
        <v>4</v>
      </c>
      <c r="I546" s="18">
        <v>145.38</v>
      </c>
      <c r="J546" s="18">
        <v>47900</v>
      </c>
      <c r="K546" s="2">
        <v>0</v>
      </c>
      <c r="L546" s="2" t="s">
        <v>3</v>
      </c>
      <c r="M546" s="7" t="s">
        <v>15</v>
      </c>
      <c r="N546" s="7" t="s">
        <v>14</v>
      </c>
      <c r="O546" s="7" t="s">
        <v>193</v>
      </c>
      <c r="S546" s="7" t="s">
        <v>96</v>
      </c>
      <c r="T546" s="8" t="s">
        <v>20</v>
      </c>
      <c r="U546" s="8">
        <v>4</v>
      </c>
      <c r="V546" s="8">
        <v>145.38</v>
      </c>
      <c r="W546" s="8" t="s">
        <v>196</v>
      </c>
      <c r="X546" s="15">
        <v>45199</v>
      </c>
      <c r="Y546" s="15">
        <v>45222</v>
      </c>
      <c r="Z546" s="17" t="s">
        <v>201</v>
      </c>
      <c r="AA546" s="118">
        <v>42900</v>
      </c>
      <c r="AB546" s="7">
        <v>82</v>
      </c>
      <c r="AC546" s="7">
        <v>69</v>
      </c>
      <c r="AD546" s="15">
        <v>47329</v>
      </c>
      <c r="AE546" s="50">
        <v>500</v>
      </c>
      <c r="AF546" s="5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7"/>
      <c r="BA546" s="20"/>
      <c r="BB546" s="20"/>
      <c r="BD546" s="7"/>
      <c r="CS546" s="9">
        <f t="shared" si="41"/>
        <v>0</v>
      </c>
      <c r="CT546" s="20">
        <f t="shared" si="42"/>
        <v>0</v>
      </c>
      <c r="CU546" s="20">
        <f t="shared" si="44"/>
        <v>0</v>
      </c>
      <c r="CV546" s="24">
        <f t="shared" si="43"/>
        <v>500</v>
      </c>
    </row>
    <row r="547" spans="1:100" x14ac:dyDescent="0.2">
      <c r="A547" s="7" t="s">
        <v>192</v>
      </c>
      <c r="B547" s="1">
        <v>42</v>
      </c>
      <c r="C547" s="2" t="s">
        <v>36</v>
      </c>
      <c r="D547" s="59" t="s">
        <v>37</v>
      </c>
      <c r="E547" s="58"/>
      <c r="F547" s="58"/>
      <c r="G547" s="1" t="s">
        <v>20</v>
      </c>
      <c r="H547" s="1">
        <v>4</v>
      </c>
      <c r="I547" s="18">
        <v>145.38</v>
      </c>
      <c r="J547" s="18">
        <v>47900</v>
      </c>
      <c r="K547" s="2">
        <v>0</v>
      </c>
      <c r="L547" s="2" t="s">
        <v>3</v>
      </c>
      <c r="M547" s="7" t="s">
        <v>15</v>
      </c>
      <c r="N547" s="7" t="s">
        <v>14</v>
      </c>
      <c r="O547" s="7" t="s">
        <v>193</v>
      </c>
      <c r="S547" s="7" t="s">
        <v>96</v>
      </c>
      <c r="T547" s="8" t="s">
        <v>20</v>
      </c>
      <c r="U547" s="8">
        <v>4</v>
      </c>
      <c r="V547" s="8">
        <v>145.38</v>
      </c>
      <c r="W547" s="8" t="s">
        <v>196</v>
      </c>
      <c r="X547" s="15">
        <v>45199</v>
      </c>
      <c r="Y547" s="15">
        <v>45222</v>
      </c>
      <c r="Z547" s="17" t="s">
        <v>201</v>
      </c>
      <c r="AA547" s="118">
        <v>42900</v>
      </c>
      <c r="AB547" s="7">
        <v>82</v>
      </c>
      <c r="AC547" s="7">
        <v>70</v>
      </c>
      <c r="AD547" s="15">
        <v>47360</v>
      </c>
      <c r="AE547" s="50">
        <v>500</v>
      </c>
      <c r="AF547" s="5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7"/>
      <c r="BA547" s="20"/>
      <c r="BB547" s="20"/>
      <c r="BD547" s="7"/>
      <c r="CS547" s="9">
        <f t="shared" si="41"/>
        <v>0</v>
      </c>
      <c r="CT547" s="20">
        <f t="shared" si="42"/>
        <v>0</v>
      </c>
      <c r="CU547" s="20">
        <f t="shared" si="44"/>
        <v>0</v>
      </c>
      <c r="CV547" s="24">
        <f t="shared" si="43"/>
        <v>500</v>
      </c>
    </row>
    <row r="548" spans="1:100" x14ac:dyDescent="0.2">
      <c r="A548" s="7" t="s">
        <v>192</v>
      </c>
      <c r="B548" s="1">
        <v>42</v>
      </c>
      <c r="C548" s="2" t="s">
        <v>36</v>
      </c>
      <c r="D548" s="59" t="s">
        <v>37</v>
      </c>
      <c r="E548" s="58"/>
      <c r="F548" s="58"/>
      <c r="G548" s="1" t="s">
        <v>20</v>
      </c>
      <c r="H548" s="1">
        <v>4</v>
      </c>
      <c r="I548" s="18">
        <v>145.38</v>
      </c>
      <c r="J548" s="18">
        <v>47900</v>
      </c>
      <c r="K548" s="2">
        <v>0</v>
      </c>
      <c r="L548" s="2" t="s">
        <v>3</v>
      </c>
      <c r="M548" s="7" t="s">
        <v>15</v>
      </c>
      <c r="N548" s="7" t="s">
        <v>14</v>
      </c>
      <c r="O548" s="7" t="s">
        <v>193</v>
      </c>
      <c r="S548" s="7" t="s">
        <v>96</v>
      </c>
      <c r="T548" s="8" t="s">
        <v>20</v>
      </c>
      <c r="U548" s="8">
        <v>4</v>
      </c>
      <c r="V548" s="8">
        <v>145.38</v>
      </c>
      <c r="W548" s="8" t="s">
        <v>196</v>
      </c>
      <c r="X548" s="15">
        <v>45199</v>
      </c>
      <c r="Y548" s="15">
        <v>45222</v>
      </c>
      <c r="Z548" s="17" t="s">
        <v>201</v>
      </c>
      <c r="AA548" s="118">
        <v>42900</v>
      </c>
      <c r="AB548" s="7">
        <v>82</v>
      </c>
      <c r="AC548" s="7">
        <v>71</v>
      </c>
      <c r="AD548" s="15">
        <v>47391</v>
      </c>
      <c r="AE548" s="50">
        <v>500</v>
      </c>
      <c r="AF548" s="5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7"/>
      <c r="BA548" s="20"/>
      <c r="BB548" s="20"/>
      <c r="BD548" s="7"/>
      <c r="CS548" s="9">
        <f t="shared" si="41"/>
        <v>0</v>
      </c>
      <c r="CT548" s="20">
        <f t="shared" si="42"/>
        <v>0</v>
      </c>
      <c r="CU548" s="20">
        <f t="shared" si="44"/>
        <v>0</v>
      </c>
      <c r="CV548" s="24">
        <f t="shared" si="43"/>
        <v>500</v>
      </c>
    </row>
    <row r="549" spans="1:100" x14ac:dyDescent="0.2">
      <c r="A549" s="7" t="s">
        <v>192</v>
      </c>
      <c r="B549" s="1">
        <v>42</v>
      </c>
      <c r="C549" s="2" t="s">
        <v>36</v>
      </c>
      <c r="D549" s="59" t="s">
        <v>37</v>
      </c>
      <c r="E549" s="58"/>
      <c r="F549" s="58"/>
      <c r="G549" s="1" t="s">
        <v>20</v>
      </c>
      <c r="H549" s="1">
        <v>4</v>
      </c>
      <c r="I549" s="18">
        <v>145.38</v>
      </c>
      <c r="J549" s="18">
        <v>47900</v>
      </c>
      <c r="K549" s="2">
        <v>0</v>
      </c>
      <c r="L549" s="2" t="s">
        <v>3</v>
      </c>
      <c r="M549" s="7" t="s">
        <v>15</v>
      </c>
      <c r="N549" s="7" t="s">
        <v>14</v>
      </c>
      <c r="O549" s="7" t="s">
        <v>193</v>
      </c>
      <c r="S549" s="7" t="s">
        <v>96</v>
      </c>
      <c r="T549" s="8" t="s">
        <v>20</v>
      </c>
      <c r="U549" s="8">
        <v>4</v>
      </c>
      <c r="V549" s="8">
        <v>145.38</v>
      </c>
      <c r="W549" s="8" t="s">
        <v>196</v>
      </c>
      <c r="X549" s="15">
        <v>45199</v>
      </c>
      <c r="Y549" s="15">
        <v>45222</v>
      </c>
      <c r="Z549" s="17" t="s">
        <v>201</v>
      </c>
      <c r="AA549" s="118">
        <v>42900</v>
      </c>
      <c r="AB549" s="7">
        <v>82</v>
      </c>
      <c r="AC549" s="7">
        <v>72</v>
      </c>
      <c r="AD549" s="15">
        <v>47421</v>
      </c>
      <c r="AE549" s="50">
        <v>500</v>
      </c>
      <c r="AF549" s="5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7"/>
      <c r="BA549" s="20"/>
      <c r="BB549" s="20"/>
      <c r="BD549" s="7"/>
      <c r="CS549" s="9">
        <f t="shared" si="41"/>
        <v>0</v>
      </c>
      <c r="CT549" s="20">
        <f t="shared" si="42"/>
        <v>0</v>
      </c>
      <c r="CU549" s="20">
        <f t="shared" si="44"/>
        <v>0</v>
      </c>
      <c r="CV549" s="24">
        <f t="shared" si="43"/>
        <v>500</v>
      </c>
    </row>
    <row r="550" spans="1:100" x14ac:dyDescent="0.2">
      <c r="A550" s="7" t="s">
        <v>192</v>
      </c>
      <c r="B550" s="1">
        <v>42</v>
      </c>
      <c r="C550" s="2" t="s">
        <v>36</v>
      </c>
      <c r="D550" s="59" t="s">
        <v>37</v>
      </c>
      <c r="E550" s="58"/>
      <c r="F550" s="58"/>
      <c r="G550" s="1" t="s">
        <v>20</v>
      </c>
      <c r="H550" s="1">
        <v>4</v>
      </c>
      <c r="I550" s="18">
        <v>145.38</v>
      </c>
      <c r="J550" s="18">
        <v>47900</v>
      </c>
      <c r="K550" s="2">
        <v>0</v>
      </c>
      <c r="L550" s="2" t="s">
        <v>3</v>
      </c>
      <c r="M550" s="7" t="s">
        <v>15</v>
      </c>
      <c r="N550" s="7" t="s">
        <v>14</v>
      </c>
      <c r="O550" s="7" t="s">
        <v>193</v>
      </c>
      <c r="S550" s="7" t="s">
        <v>96</v>
      </c>
      <c r="T550" s="8" t="s">
        <v>20</v>
      </c>
      <c r="U550" s="8">
        <v>4</v>
      </c>
      <c r="V550" s="8">
        <v>145.38</v>
      </c>
      <c r="W550" s="8" t="s">
        <v>196</v>
      </c>
      <c r="X550" s="15">
        <v>45199</v>
      </c>
      <c r="Y550" s="15">
        <v>45222</v>
      </c>
      <c r="Z550" s="17" t="s">
        <v>201</v>
      </c>
      <c r="AA550" s="118">
        <v>42900</v>
      </c>
      <c r="AB550" s="7">
        <v>82</v>
      </c>
      <c r="AC550" s="7">
        <v>73</v>
      </c>
      <c r="AD550" s="15">
        <v>47452</v>
      </c>
      <c r="AE550" s="50">
        <v>500</v>
      </c>
      <c r="AF550" s="5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7"/>
      <c r="BA550" s="20"/>
      <c r="BB550" s="20"/>
      <c r="BD550" s="7"/>
      <c r="CS550" s="9">
        <f t="shared" si="41"/>
        <v>0</v>
      </c>
      <c r="CT550" s="20">
        <f t="shared" si="42"/>
        <v>0</v>
      </c>
      <c r="CU550" s="20">
        <f t="shared" si="44"/>
        <v>0</v>
      </c>
      <c r="CV550" s="24">
        <f t="shared" si="43"/>
        <v>500</v>
      </c>
    </row>
    <row r="551" spans="1:100" x14ac:dyDescent="0.2">
      <c r="A551" s="7" t="s">
        <v>192</v>
      </c>
      <c r="B551" s="1">
        <v>42</v>
      </c>
      <c r="C551" s="2" t="s">
        <v>36</v>
      </c>
      <c r="D551" s="59" t="s">
        <v>37</v>
      </c>
      <c r="E551" s="58"/>
      <c r="F551" s="58"/>
      <c r="G551" s="1" t="s">
        <v>20</v>
      </c>
      <c r="H551" s="1">
        <v>4</v>
      </c>
      <c r="I551" s="18">
        <v>145.38</v>
      </c>
      <c r="J551" s="18">
        <v>47900</v>
      </c>
      <c r="K551" s="2">
        <v>0</v>
      </c>
      <c r="L551" s="2" t="s">
        <v>3</v>
      </c>
      <c r="M551" s="7" t="s">
        <v>15</v>
      </c>
      <c r="N551" s="7" t="s">
        <v>14</v>
      </c>
      <c r="O551" s="7" t="s">
        <v>193</v>
      </c>
      <c r="S551" s="7" t="s">
        <v>96</v>
      </c>
      <c r="T551" s="8" t="s">
        <v>20</v>
      </c>
      <c r="U551" s="8">
        <v>4</v>
      </c>
      <c r="V551" s="8">
        <v>145.38</v>
      </c>
      <c r="W551" s="8" t="s">
        <v>196</v>
      </c>
      <c r="X551" s="15">
        <v>45199</v>
      </c>
      <c r="Y551" s="15">
        <v>45222</v>
      </c>
      <c r="Z551" s="17" t="s">
        <v>201</v>
      </c>
      <c r="AA551" s="118">
        <v>42900</v>
      </c>
      <c r="AB551" s="7">
        <v>82</v>
      </c>
      <c r="AC551" s="7">
        <v>74</v>
      </c>
      <c r="AD551" s="15">
        <v>47482</v>
      </c>
      <c r="AE551" s="50">
        <v>500</v>
      </c>
      <c r="AF551" s="5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7"/>
      <c r="BA551" s="20"/>
      <c r="BB551" s="20"/>
      <c r="BD551" s="7"/>
      <c r="CS551" s="9">
        <f t="shared" si="41"/>
        <v>0</v>
      </c>
      <c r="CT551" s="20">
        <f t="shared" si="42"/>
        <v>0</v>
      </c>
      <c r="CU551" s="20">
        <f t="shared" si="44"/>
        <v>0</v>
      </c>
      <c r="CV551" s="24">
        <f t="shared" si="43"/>
        <v>500</v>
      </c>
    </row>
    <row r="552" spans="1:100" x14ac:dyDescent="0.2">
      <c r="A552" s="7" t="s">
        <v>192</v>
      </c>
      <c r="B552" s="1">
        <v>42</v>
      </c>
      <c r="C552" s="2" t="s">
        <v>36</v>
      </c>
      <c r="D552" s="59" t="s">
        <v>37</v>
      </c>
      <c r="E552" s="58"/>
      <c r="F552" s="58"/>
      <c r="G552" s="1" t="s">
        <v>20</v>
      </c>
      <c r="H552" s="1">
        <v>4</v>
      </c>
      <c r="I552" s="18">
        <v>145.38</v>
      </c>
      <c r="J552" s="18">
        <v>47900</v>
      </c>
      <c r="K552" s="2">
        <v>0</v>
      </c>
      <c r="L552" s="2" t="s">
        <v>3</v>
      </c>
      <c r="M552" s="7" t="s">
        <v>15</v>
      </c>
      <c r="N552" s="7" t="s">
        <v>14</v>
      </c>
      <c r="O552" s="7" t="s">
        <v>193</v>
      </c>
      <c r="S552" s="7" t="s">
        <v>96</v>
      </c>
      <c r="T552" s="8" t="s">
        <v>20</v>
      </c>
      <c r="U552" s="8">
        <v>4</v>
      </c>
      <c r="V552" s="8">
        <v>145.38</v>
      </c>
      <c r="W552" s="8" t="s">
        <v>196</v>
      </c>
      <c r="X552" s="15">
        <v>45199</v>
      </c>
      <c r="Y552" s="15">
        <v>45222</v>
      </c>
      <c r="Z552" s="17" t="s">
        <v>201</v>
      </c>
      <c r="AA552" s="118">
        <v>42900</v>
      </c>
      <c r="AB552" s="7">
        <v>82</v>
      </c>
      <c r="AC552" s="7">
        <v>75</v>
      </c>
      <c r="AD552" s="15">
        <v>47513</v>
      </c>
      <c r="AE552" s="50">
        <v>500</v>
      </c>
      <c r="AF552" s="5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7"/>
      <c r="BA552" s="20"/>
      <c r="BB552" s="20"/>
      <c r="BD552" s="7"/>
      <c r="CS552" s="9">
        <f t="shared" si="41"/>
        <v>0</v>
      </c>
      <c r="CT552" s="20">
        <f t="shared" si="42"/>
        <v>0</v>
      </c>
      <c r="CU552" s="20">
        <f t="shared" si="44"/>
        <v>0</v>
      </c>
      <c r="CV552" s="24">
        <f t="shared" si="43"/>
        <v>500</v>
      </c>
    </row>
    <row r="553" spans="1:100" x14ac:dyDescent="0.2">
      <c r="A553" s="7" t="s">
        <v>192</v>
      </c>
      <c r="B553" s="1">
        <v>42</v>
      </c>
      <c r="C553" s="2" t="s">
        <v>36</v>
      </c>
      <c r="D553" s="59" t="s">
        <v>37</v>
      </c>
      <c r="E553" s="58"/>
      <c r="F553" s="58"/>
      <c r="G553" s="1" t="s">
        <v>20</v>
      </c>
      <c r="H553" s="1">
        <v>4</v>
      </c>
      <c r="I553" s="18">
        <v>145.38</v>
      </c>
      <c r="J553" s="18">
        <v>47900</v>
      </c>
      <c r="K553" s="2">
        <v>0</v>
      </c>
      <c r="L553" s="2" t="s">
        <v>3</v>
      </c>
      <c r="M553" s="7" t="s">
        <v>15</v>
      </c>
      <c r="N553" s="7" t="s">
        <v>14</v>
      </c>
      <c r="O553" s="7" t="s">
        <v>193</v>
      </c>
      <c r="S553" s="7" t="s">
        <v>96</v>
      </c>
      <c r="T553" s="8" t="s">
        <v>20</v>
      </c>
      <c r="U553" s="8">
        <v>4</v>
      </c>
      <c r="V553" s="8">
        <v>145.38</v>
      </c>
      <c r="W553" s="8" t="s">
        <v>196</v>
      </c>
      <c r="X553" s="15">
        <v>45199</v>
      </c>
      <c r="Y553" s="15">
        <v>45222</v>
      </c>
      <c r="Z553" s="17" t="s">
        <v>201</v>
      </c>
      <c r="AA553" s="118">
        <v>42900</v>
      </c>
      <c r="AB553" s="7">
        <v>82</v>
      </c>
      <c r="AC553" s="7">
        <v>76</v>
      </c>
      <c r="AD553" s="15">
        <v>47542</v>
      </c>
      <c r="AE553" s="50">
        <v>500</v>
      </c>
      <c r="AF553" s="5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7"/>
      <c r="BA553" s="20"/>
      <c r="BB553" s="20"/>
      <c r="BD553" s="7"/>
      <c r="CS553" s="9">
        <f t="shared" si="41"/>
        <v>0</v>
      </c>
      <c r="CT553" s="20">
        <f t="shared" si="42"/>
        <v>0</v>
      </c>
      <c r="CU553" s="20">
        <f t="shared" si="44"/>
        <v>0</v>
      </c>
      <c r="CV553" s="24">
        <f t="shared" si="43"/>
        <v>500</v>
      </c>
    </row>
    <row r="554" spans="1:100" x14ac:dyDescent="0.2">
      <c r="A554" s="7" t="s">
        <v>192</v>
      </c>
      <c r="B554" s="1">
        <v>42</v>
      </c>
      <c r="C554" s="2" t="s">
        <v>36</v>
      </c>
      <c r="D554" s="59" t="s">
        <v>37</v>
      </c>
      <c r="E554" s="58"/>
      <c r="F554" s="58"/>
      <c r="G554" s="1" t="s">
        <v>20</v>
      </c>
      <c r="H554" s="1">
        <v>4</v>
      </c>
      <c r="I554" s="18">
        <v>145.38</v>
      </c>
      <c r="J554" s="18">
        <v>47900</v>
      </c>
      <c r="K554" s="2">
        <v>0</v>
      </c>
      <c r="L554" s="2" t="s">
        <v>3</v>
      </c>
      <c r="M554" s="7" t="s">
        <v>15</v>
      </c>
      <c r="N554" s="7" t="s">
        <v>14</v>
      </c>
      <c r="O554" s="7" t="s">
        <v>193</v>
      </c>
      <c r="S554" s="7" t="s">
        <v>96</v>
      </c>
      <c r="T554" s="8" t="s">
        <v>20</v>
      </c>
      <c r="U554" s="8">
        <v>4</v>
      </c>
      <c r="V554" s="8">
        <v>145.38</v>
      </c>
      <c r="W554" s="8" t="s">
        <v>196</v>
      </c>
      <c r="X554" s="15">
        <v>45199</v>
      </c>
      <c r="Y554" s="15">
        <v>45222</v>
      </c>
      <c r="Z554" s="17" t="s">
        <v>201</v>
      </c>
      <c r="AA554" s="118">
        <v>42900</v>
      </c>
      <c r="AB554" s="7">
        <v>82</v>
      </c>
      <c r="AC554" s="7">
        <v>77</v>
      </c>
      <c r="AD554" s="15">
        <v>47572</v>
      </c>
      <c r="AE554" s="50">
        <v>500</v>
      </c>
      <c r="AF554" s="5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7"/>
      <c r="BA554" s="20"/>
      <c r="BB554" s="20"/>
      <c r="BD554" s="7"/>
      <c r="CS554" s="9">
        <f t="shared" si="41"/>
        <v>0</v>
      </c>
      <c r="CT554" s="20">
        <f t="shared" si="42"/>
        <v>0</v>
      </c>
      <c r="CU554" s="20">
        <f t="shared" si="44"/>
        <v>0</v>
      </c>
      <c r="CV554" s="24">
        <f t="shared" si="43"/>
        <v>500</v>
      </c>
    </row>
    <row r="555" spans="1:100" x14ac:dyDescent="0.2">
      <c r="A555" s="7" t="s">
        <v>192</v>
      </c>
      <c r="B555" s="1">
        <v>42</v>
      </c>
      <c r="C555" s="2" t="s">
        <v>36</v>
      </c>
      <c r="D555" s="59" t="s">
        <v>37</v>
      </c>
      <c r="E555" s="58"/>
      <c r="F555" s="58"/>
      <c r="G555" s="1" t="s">
        <v>20</v>
      </c>
      <c r="H555" s="1">
        <v>4</v>
      </c>
      <c r="I555" s="18">
        <v>145.38</v>
      </c>
      <c r="J555" s="18">
        <v>47900</v>
      </c>
      <c r="K555" s="2">
        <v>0</v>
      </c>
      <c r="L555" s="2" t="s">
        <v>3</v>
      </c>
      <c r="M555" s="7" t="s">
        <v>15</v>
      </c>
      <c r="N555" s="7" t="s">
        <v>14</v>
      </c>
      <c r="O555" s="7" t="s">
        <v>193</v>
      </c>
      <c r="S555" s="7" t="s">
        <v>96</v>
      </c>
      <c r="T555" s="8" t="s">
        <v>20</v>
      </c>
      <c r="U555" s="8">
        <v>4</v>
      </c>
      <c r="V555" s="8">
        <v>145.38</v>
      </c>
      <c r="W555" s="8" t="s">
        <v>196</v>
      </c>
      <c r="X555" s="15">
        <v>45199</v>
      </c>
      <c r="Y555" s="15">
        <v>45222</v>
      </c>
      <c r="Z555" s="17" t="s">
        <v>201</v>
      </c>
      <c r="AA555" s="118">
        <v>42900</v>
      </c>
      <c r="AB555" s="7">
        <v>82</v>
      </c>
      <c r="AC555" s="7">
        <v>78</v>
      </c>
      <c r="AD555" s="15">
        <v>47603</v>
      </c>
      <c r="AE555" s="50">
        <v>500</v>
      </c>
      <c r="AF555" s="5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7"/>
      <c r="BA555" s="20"/>
      <c r="BB555" s="20"/>
      <c r="BD555" s="7"/>
      <c r="CS555" s="9">
        <f t="shared" si="41"/>
        <v>0</v>
      </c>
      <c r="CT555" s="20">
        <f t="shared" si="42"/>
        <v>0</v>
      </c>
      <c r="CU555" s="20">
        <f t="shared" si="44"/>
        <v>0</v>
      </c>
      <c r="CV555" s="24">
        <f t="shared" si="43"/>
        <v>500</v>
      </c>
    </row>
    <row r="556" spans="1:100" x14ac:dyDescent="0.2">
      <c r="A556" s="7" t="s">
        <v>192</v>
      </c>
      <c r="B556" s="1">
        <v>42</v>
      </c>
      <c r="C556" s="2" t="s">
        <v>36</v>
      </c>
      <c r="D556" s="59" t="s">
        <v>37</v>
      </c>
      <c r="E556" s="58"/>
      <c r="F556" s="58"/>
      <c r="G556" s="1" t="s">
        <v>20</v>
      </c>
      <c r="H556" s="1">
        <v>4</v>
      </c>
      <c r="I556" s="18">
        <v>145.38</v>
      </c>
      <c r="J556" s="18">
        <v>47900</v>
      </c>
      <c r="K556" s="2">
        <v>0</v>
      </c>
      <c r="L556" s="2" t="s">
        <v>3</v>
      </c>
      <c r="M556" s="7" t="s">
        <v>15</v>
      </c>
      <c r="N556" s="7" t="s">
        <v>14</v>
      </c>
      <c r="O556" s="7" t="s">
        <v>193</v>
      </c>
      <c r="S556" s="7" t="s">
        <v>96</v>
      </c>
      <c r="T556" s="8" t="s">
        <v>20</v>
      </c>
      <c r="U556" s="8">
        <v>4</v>
      </c>
      <c r="V556" s="8">
        <v>145.38</v>
      </c>
      <c r="W556" s="8" t="s">
        <v>196</v>
      </c>
      <c r="X556" s="15">
        <v>45199</v>
      </c>
      <c r="Y556" s="15">
        <v>45222</v>
      </c>
      <c r="Z556" s="17" t="s">
        <v>201</v>
      </c>
      <c r="AA556" s="118">
        <v>42900</v>
      </c>
      <c r="AB556" s="7">
        <v>82</v>
      </c>
      <c r="AC556" s="7">
        <v>79</v>
      </c>
      <c r="AD556" s="15">
        <v>47633</v>
      </c>
      <c r="AE556" s="50">
        <v>500</v>
      </c>
      <c r="AF556" s="5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7"/>
      <c r="BA556" s="20"/>
      <c r="BB556" s="20"/>
      <c r="BD556" s="7"/>
      <c r="CS556" s="9">
        <f t="shared" si="41"/>
        <v>0</v>
      </c>
      <c r="CT556" s="20">
        <f t="shared" si="42"/>
        <v>0</v>
      </c>
      <c r="CU556" s="20">
        <f t="shared" si="44"/>
        <v>0</v>
      </c>
      <c r="CV556" s="24">
        <f t="shared" si="43"/>
        <v>500</v>
      </c>
    </row>
    <row r="557" spans="1:100" x14ac:dyDescent="0.2">
      <c r="A557" s="7" t="s">
        <v>192</v>
      </c>
      <c r="B557" s="1">
        <v>42</v>
      </c>
      <c r="C557" s="2" t="s">
        <v>36</v>
      </c>
      <c r="D557" s="59" t="s">
        <v>37</v>
      </c>
      <c r="E557" s="58"/>
      <c r="F557" s="58"/>
      <c r="G557" s="1" t="s">
        <v>20</v>
      </c>
      <c r="H557" s="1">
        <v>4</v>
      </c>
      <c r="I557" s="18">
        <v>145.38</v>
      </c>
      <c r="J557" s="18">
        <v>47900</v>
      </c>
      <c r="K557" s="2">
        <v>0</v>
      </c>
      <c r="L557" s="2" t="s">
        <v>3</v>
      </c>
      <c r="M557" s="7" t="s">
        <v>15</v>
      </c>
      <c r="N557" s="7" t="s">
        <v>14</v>
      </c>
      <c r="O557" s="7" t="s">
        <v>193</v>
      </c>
      <c r="S557" s="7" t="s">
        <v>96</v>
      </c>
      <c r="T557" s="8" t="s">
        <v>20</v>
      </c>
      <c r="U557" s="8">
        <v>4</v>
      </c>
      <c r="V557" s="8">
        <v>145.38</v>
      </c>
      <c r="W557" s="8" t="s">
        <v>196</v>
      </c>
      <c r="X557" s="15">
        <v>45199</v>
      </c>
      <c r="Y557" s="15">
        <v>45222</v>
      </c>
      <c r="Z557" s="17" t="s">
        <v>201</v>
      </c>
      <c r="AA557" s="118">
        <v>42900</v>
      </c>
      <c r="AB557" s="7">
        <v>82</v>
      </c>
      <c r="AC557" s="7">
        <v>80</v>
      </c>
      <c r="AD557" s="15">
        <v>47664</v>
      </c>
      <c r="AE557" s="50">
        <v>500</v>
      </c>
      <c r="AF557" s="5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7"/>
      <c r="BA557" s="20"/>
      <c r="BB557" s="20"/>
      <c r="BD557" s="7"/>
      <c r="CS557" s="9">
        <f t="shared" si="41"/>
        <v>0</v>
      </c>
      <c r="CT557" s="20">
        <f t="shared" si="42"/>
        <v>0</v>
      </c>
      <c r="CU557" s="20">
        <f t="shared" si="44"/>
        <v>0</v>
      </c>
      <c r="CV557" s="24">
        <f t="shared" si="43"/>
        <v>500</v>
      </c>
    </row>
    <row r="558" spans="1:100" x14ac:dyDescent="0.2">
      <c r="A558" s="7" t="s">
        <v>192</v>
      </c>
      <c r="B558" s="1">
        <v>42</v>
      </c>
      <c r="C558" s="2" t="s">
        <v>36</v>
      </c>
      <c r="D558" s="59" t="s">
        <v>37</v>
      </c>
      <c r="E558" s="58"/>
      <c r="F558" s="58"/>
      <c r="G558" s="1" t="s">
        <v>20</v>
      </c>
      <c r="H558" s="1">
        <v>4</v>
      </c>
      <c r="I558" s="18">
        <v>145.38</v>
      </c>
      <c r="J558" s="18">
        <v>47900</v>
      </c>
      <c r="K558" s="2">
        <v>0</v>
      </c>
      <c r="L558" s="2" t="s">
        <v>3</v>
      </c>
      <c r="M558" s="7" t="s">
        <v>15</v>
      </c>
      <c r="N558" s="7" t="s">
        <v>14</v>
      </c>
      <c r="O558" s="7" t="s">
        <v>193</v>
      </c>
      <c r="S558" s="7" t="s">
        <v>96</v>
      </c>
      <c r="T558" s="8" t="s">
        <v>20</v>
      </c>
      <c r="U558" s="8">
        <v>4</v>
      </c>
      <c r="V558" s="8">
        <v>145.38</v>
      </c>
      <c r="W558" s="8" t="s">
        <v>196</v>
      </c>
      <c r="X558" s="15">
        <v>45199</v>
      </c>
      <c r="Y558" s="15">
        <v>45222</v>
      </c>
      <c r="Z558" s="17" t="s">
        <v>201</v>
      </c>
      <c r="AA558" s="118">
        <v>42900</v>
      </c>
      <c r="AB558" s="7">
        <v>82</v>
      </c>
      <c r="AC558" s="7">
        <v>81</v>
      </c>
      <c r="AD558" s="15">
        <v>47694</v>
      </c>
      <c r="AE558" s="50">
        <v>500</v>
      </c>
      <c r="AF558" s="5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7"/>
      <c r="BA558" s="20"/>
      <c r="BB558" s="20"/>
      <c r="BD558" s="7"/>
      <c r="CS558" s="9">
        <f t="shared" si="41"/>
        <v>0</v>
      </c>
      <c r="CT558" s="20">
        <f t="shared" si="42"/>
        <v>0</v>
      </c>
      <c r="CU558" s="20">
        <f t="shared" si="44"/>
        <v>0</v>
      </c>
      <c r="CV558" s="24">
        <f t="shared" si="43"/>
        <v>500</v>
      </c>
    </row>
    <row r="559" spans="1:100" x14ac:dyDescent="0.2">
      <c r="A559" s="7" t="s">
        <v>192</v>
      </c>
      <c r="B559" s="1">
        <v>42</v>
      </c>
      <c r="C559" s="2" t="s">
        <v>36</v>
      </c>
      <c r="D559" s="59" t="s">
        <v>37</v>
      </c>
      <c r="E559" s="58"/>
      <c r="F559" s="58"/>
      <c r="G559" s="1" t="s">
        <v>20</v>
      </c>
      <c r="H559" s="1">
        <v>4</v>
      </c>
      <c r="I559" s="18">
        <v>145.38</v>
      </c>
      <c r="J559" s="18">
        <v>47900</v>
      </c>
      <c r="K559" s="2">
        <v>0</v>
      </c>
      <c r="L559" s="2" t="s">
        <v>3</v>
      </c>
      <c r="M559" s="7" t="s">
        <v>15</v>
      </c>
      <c r="N559" s="7" t="s">
        <v>14</v>
      </c>
      <c r="O559" s="7" t="s">
        <v>193</v>
      </c>
      <c r="S559" s="7" t="s">
        <v>96</v>
      </c>
      <c r="T559" s="8" t="s">
        <v>20</v>
      </c>
      <c r="U559" s="8">
        <v>4</v>
      </c>
      <c r="V559" s="8">
        <v>145.38</v>
      </c>
      <c r="W559" s="8" t="s">
        <v>196</v>
      </c>
      <c r="X559" s="15">
        <v>45199</v>
      </c>
      <c r="Y559" s="15">
        <v>45222</v>
      </c>
      <c r="Z559" s="17" t="s">
        <v>201</v>
      </c>
      <c r="AA559" s="118">
        <v>42900</v>
      </c>
      <c r="AB559" s="7">
        <v>82</v>
      </c>
      <c r="AC559" s="7">
        <v>82</v>
      </c>
      <c r="AD559" s="15">
        <v>47725</v>
      </c>
      <c r="AE559" s="50">
        <v>400</v>
      </c>
      <c r="AF559" s="5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7"/>
      <c r="BA559" s="20"/>
      <c r="BB559" s="20"/>
      <c r="BD559" s="7"/>
      <c r="CS559" s="9">
        <f t="shared" si="41"/>
        <v>0</v>
      </c>
      <c r="CT559" s="20">
        <f t="shared" si="42"/>
        <v>0</v>
      </c>
      <c r="CU559" s="20">
        <f t="shared" si="44"/>
        <v>0</v>
      </c>
      <c r="CV559" s="24">
        <f t="shared" si="43"/>
        <v>400</v>
      </c>
    </row>
  </sheetData>
  <autoFilter ref="A1:CY559" xr:uid="{4B53B6C5-E4BB-407C-90AD-95F3784C5C39}">
    <sortState xmlns:xlrd2="http://schemas.microsoft.com/office/spreadsheetml/2017/richdata2" ref="A2:CY559">
      <sortCondition ref="A1"/>
    </sortState>
  </autoFilter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Anthoni Portocarrero Rodriguez</dc:creator>
  <cp:lastModifiedBy>Jose Armando Menacho Minchola</cp:lastModifiedBy>
  <dcterms:created xsi:type="dcterms:W3CDTF">2025-01-09T22:30:52Z</dcterms:created>
  <dcterms:modified xsi:type="dcterms:W3CDTF">2025-12-10T17:01:31Z</dcterms:modified>
</cp:coreProperties>
</file>